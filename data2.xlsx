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2257/Documents/Dissertation paper materials /12-19 larvae/"/>
    </mc:Choice>
  </mc:AlternateContent>
  <xr:revisionPtr revIDLastSave="0" documentId="13_ncr:1_{6BB53476-AA81-7641-A83C-5B5EFEB23B6A}" xr6:coauthVersionLast="47" xr6:coauthVersionMax="47" xr10:uidLastSave="{00000000-0000-0000-0000-000000000000}"/>
  <bookViews>
    <workbookView xWindow="1000" yWindow="660" windowWidth="29400" windowHeight="16940" firstSheet="3" activeTab="3" xr2:uid="{FD550A63-B228-A844-9F36-74C3E7238F5C}"/>
  </bookViews>
  <sheets>
    <sheet name="Omics summaries" sheetId="1" r:id="rId1"/>
    <sheet name="PFOS-FeaturesMatched" sheetId="2" r:id="rId2"/>
    <sheet name="PFOS-Pathways" sheetId="8" r:id="rId3"/>
    <sheet name="PFHxS-FeaturesMatched" sheetId="7" r:id="rId4"/>
    <sheet name="PFHxS-Pathways" sheetId="3" r:id="rId5"/>
    <sheet name="PFBS-FeaturesMatched" sheetId="10" r:id="rId6"/>
    <sheet name="PFBS-Pathways" sheetId="4" r:id="rId7"/>
    <sheet name="PFOA-FeaturesMatched" sheetId="9" r:id="rId8"/>
    <sheet name="PFOA-Pathways" sheetId="5" r:id="rId9"/>
    <sheet name="GenX-FeaturesMatched" sheetId="6" r:id="rId10"/>
    <sheet name="GenX-Pathways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3" l="1"/>
  <c r="F1" i="4"/>
  <c r="F1" i="11"/>
  <c r="F1" i="5"/>
  <c r="F1" i="8"/>
</calcChain>
</file>

<file path=xl/sharedStrings.xml><?xml version="1.0" encoding="utf-8"?>
<sst xmlns="http://schemas.openxmlformats.org/spreadsheetml/2006/main" count="911" uniqueCount="259">
  <si>
    <t>Raw P-value ≤ 0.05</t>
  </si>
  <si>
    <t>ADJ P-value ≤ 0.05</t>
  </si>
  <si>
    <t>UP</t>
  </si>
  <si>
    <t>DOWN</t>
  </si>
  <si>
    <t>TOTAL</t>
  </si>
  <si>
    <t>PFOS</t>
  </si>
  <si>
    <t>PFHxS</t>
  </si>
  <si>
    <t>PFBS</t>
  </si>
  <si>
    <t>PFOA</t>
  </si>
  <si>
    <t>GenX</t>
  </si>
  <si>
    <t xml:space="preserve">n= 3 pools of 10 larvae </t>
  </si>
  <si>
    <t>METABOLOMICS |Log2FoldChange| &gt; 1</t>
  </si>
  <si>
    <t>TRANSCRIPTOMICS  |Log2FoldChange| &gt; 1</t>
  </si>
  <si>
    <t>matched_features</t>
  </si>
  <si>
    <t>Glyoxylate and dicarboxylate metabolism</t>
  </si>
  <si>
    <t>cpd:C00417; cpd:C01127; cpd:C00149; cpd:C00025; cpd:C00258; cpd:C00033; cpd:C00311</t>
  </si>
  <si>
    <t>Alanine, aspartate and glutamate metabolism</t>
  </si>
  <si>
    <t>cpd:C01042; cpd:C00049; cpd:C00025; cpd:C00940; cpd:C03912; cpd:C00122; cpd:C00026</t>
  </si>
  <si>
    <t>Valine, leucine and isoleucine biosynthesis</t>
  </si>
  <si>
    <t>cpd:C00671; cpd:C00141; cpd:C00109</t>
  </si>
  <si>
    <t>Neomycin, kanamycin and gentamicin biosynthesis</t>
  </si>
  <si>
    <t>cpd:C00031; dre:321224</t>
  </si>
  <si>
    <t>Citrate cycle (TCA cycle)</t>
  </si>
  <si>
    <t>cpd:C00026; cpd:C00311; cpd:C00149; cpd:C00417; cpd:C00122</t>
  </si>
  <si>
    <t>Arginine biosynthesis</t>
  </si>
  <si>
    <t>cpd:C00025; cpd:C00049; cpd:C00026; cpd:C00122</t>
  </si>
  <si>
    <t>Pantothenate and CoA biosynthesis</t>
  </si>
  <si>
    <t>cpd:C02642; cpd:C00049; cpd:C00106; cpd:C00141</t>
  </si>
  <si>
    <t>Aminoacyl-tRNA biosynthesis</t>
  </si>
  <si>
    <t>cpd:C00049; cpd:C00148; cpd:C00025; dre:368284; dre:324940; dre:562037</t>
  </si>
  <si>
    <t>Nitrogen metabolism</t>
  </si>
  <si>
    <t>cpd:C00025; cpd:C00288</t>
  </si>
  <si>
    <t>Biosynthesis of unsaturated fatty acids</t>
  </si>
  <si>
    <t>cpd:C00249; cpd:C01530; cpd:C06425; cpd:C00712</t>
  </si>
  <si>
    <t>Butanoate metabolism</t>
  </si>
  <si>
    <t>cpd:C00025; cpd:C00246; cpd:C00026</t>
  </si>
  <si>
    <t>Glycerophospholipid metabolism</t>
  </si>
  <si>
    <t>cpd:C00346; cpd:C00093; cpd:C00670; cpd:C13482; cpd:C04308; cpd:C01233</t>
  </si>
  <si>
    <t>Histidine metabolism</t>
  </si>
  <si>
    <t>cpd:C00025; cpd:C05827; cpd:C00049</t>
  </si>
  <si>
    <t>Taurine and hypotaurine metabolism</t>
  </si>
  <si>
    <t>cpd:C00606; cpd:C00245</t>
  </si>
  <si>
    <t>beta-Alanine metabolism</t>
  </si>
  <si>
    <t>cpd:C00049; cpd:C02642; cpd:C00106</t>
  </si>
  <si>
    <t>Sulfur metabolism</t>
  </si>
  <si>
    <t>cpd:C00059; cpd:C00320</t>
  </si>
  <si>
    <t>Vitamin B6 metabolism</t>
  </si>
  <si>
    <t>cpd:C06055; cpd:C00847</t>
  </si>
  <si>
    <t>Cysteine and methionine metabolism</t>
  </si>
  <si>
    <t>cpd:C00606; cpd:C02356; cpd:C00109; cpd:C02218</t>
  </si>
  <si>
    <t>Pyruvate metabolism</t>
  </si>
  <si>
    <t>cpd:C00149; cpd:C00033; cpd:C00122</t>
  </si>
  <si>
    <t>Galactose metabolism</t>
  </si>
  <si>
    <t>cpd:C00031; cpd:C01697; dre:321224</t>
  </si>
  <si>
    <t>Porphyrin metabolism</t>
  </si>
  <si>
    <t>cpd:C00025; dre:64607; dre:562037</t>
  </si>
  <si>
    <t>Glutathione metabolism</t>
  </si>
  <si>
    <t>cpd:C00051; cpd:C00025; cpd:C01879</t>
  </si>
  <si>
    <t>Glycerolipid metabolism</t>
  </si>
  <si>
    <t>cpd:C00093; cpd:C00258</t>
  </si>
  <si>
    <t>Glycolysis or Gluconeogenesis</t>
  </si>
  <si>
    <t>cpd:C00033; dre:321224; dre:566398</t>
  </si>
  <si>
    <t>Phenylalanine, tyrosine and tryptophan biosynthesis</t>
  </si>
  <si>
    <t>cpd:C01179</t>
  </si>
  <si>
    <t>Tyrosine metabolism</t>
  </si>
  <si>
    <t>cpd:C01179; cpd:C05584; cpd:C00122; cpd:C00628</t>
  </si>
  <si>
    <t>Starch and sucrose metabolism</t>
  </si>
  <si>
    <t>Ether lipid metabolism</t>
  </si>
  <si>
    <t>cpd:C01233; cpd:C00670</t>
  </si>
  <si>
    <t>Nicotinate and nicotinamide metabolism</t>
  </si>
  <si>
    <t>cpd:C00049; dre:445071</t>
  </si>
  <si>
    <t>Fructose and mannose metabolism</t>
  </si>
  <si>
    <t>cpd:C03827; dre:321224</t>
  </si>
  <si>
    <t>Arginine and proline metabolism</t>
  </si>
  <si>
    <t>cpd:C00148; cpd:C00025; cpd:C03912</t>
  </si>
  <si>
    <t>Glycine, serine and threonine metabolism</t>
  </si>
  <si>
    <t>cpd:C00258; cpd:C00109; dre:64607</t>
  </si>
  <si>
    <t>Propanoate metabolism</t>
  </si>
  <si>
    <t>cpd:C00109; cpd:C00163</t>
  </si>
  <si>
    <t>Phenylalanine metabolism</t>
  </si>
  <si>
    <t>cpd:C07086</t>
  </si>
  <si>
    <t>Pyrimidine metabolism</t>
  </si>
  <si>
    <t>cpd:C00105; cpd:C00299; cpd:C02642; cpd:C00106</t>
  </si>
  <si>
    <t>Pentose phosphate pathway</t>
  </si>
  <si>
    <t>cpd:C00198; cpd:C00258</t>
  </si>
  <si>
    <t>Sphingolipid metabolism</t>
  </si>
  <si>
    <t>cpd:C00836; cpd:C12144; cpd:C00346</t>
  </si>
  <si>
    <t>Glycosylphosphatidylinositol (GPI)-anchor biosynthesis</t>
  </si>
  <si>
    <t>cpd:C00249; cpd:C00346</t>
  </si>
  <si>
    <t>Fatty acid biosynthesis</t>
  </si>
  <si>
    <t>cpd:C00249; cpd:C00383; cpd:C02679; cpd:C01571</t>
  </si>
  <si>
    <t>Amino sugar and nucleotide sugar metabolism</t>
  </si>
  <si>
    <t>dre:321224; dre:431739; dre:406323</t>
  </si>
  <si>
    <t>Purine metabolism</t>
  </si>
  <si>
    <t>cpd:C00385; cpd:C00294; cpd:C00366; cpd:C00059; dre:368410</t>
  </si>
  <si>
    <t>Ubiquinone and other terpenoid-quinone biosynthesis</t>
  </si>
  <si>
    <t>Terpenoid backbone biosynthesis</t>
  </si>
  <si>
    <t>cpd:C00418</t>
  </si>
  <si>
    <t>Pentose and glucuronate interconversions</t>
  </si>
  <si>
    <t>cpd:C00181</t>
  </si>
  <si>
    <t>Valine, leucine and isoleucine degradation</t>
  </si>
  <si>
    <t>cpd:C00671; cpd:C00141</t>
  </si>
  <si>
    <t>Lipoic acid metabolism</t>
  </si>
  <si>
    <t>cpd:C00026</t>
  </si>
  <si>
    <t>Fatty acid elongation</t>
  </si>
  <si>
    <t>cpd:C00249</t>
  </si>
  <si>
    <t>Metabolism of xenobiotics by cytochrome P450</t>
  </si>
  <si>
    <t>cpd:C14857</t>
  </si>
  <si>
    <t>Fatty acid degradation</t>
  </si>
  <si>
    <t>Total</t>
  </si>
  <si>
    <t>Expected</t>
  </si>
  <si>
    <t>Hits</t>
  </si>
  <si>
    <t>Raw p</t>
  </si>
  <si>
    <t>Holm adjust</t>
  </si>
  <si>
    <t>FDR</t>
  </si>
  <si>
    <t>Impact</t>
  </si>
  <si>
    <t>6.8788e-06</t>
  </si>
  <si>
    <t>Thiamine metabolism</t>
  </si>
  <si>
    <t>Retinol metabolism</t>
  </si>
  <si>
    <t>Folate biosynthesis</t>
  </si>
  <si>
    <t>Inositol phosphate metabolism</t>
  </si>
  <si>
    <t>Tryptophan metabolism</t>
  </si>
  <si>
    <t>Arachidonic acid metabolism</t>
  </si>
  <si>
    <t>cpd:C00026; cpd:C00311; cpd:C00149; cpd:C00417; cpd:C00122; dre:393884; dre:562149; dre:322670; dre:324201; dre:378727</t>
  </si>
  <si>
    <t>cpd:C00417; cpd:C01127; cpd:C00149; cpd:C00025; cpd:C00258; cpd:C00033; cpd:C00311; dre:322670</t>
  </si>
  <si>
    <t>cpd:C01042; cpd:C00049; cpd:C00025; cpd:C00940; cpd:C03912; cpd:C00122; cpd:C00026; dre:394138</t>
  </si>
  <si>
    <t>cpd:C00049; cpd:C00148; cpd:C00025; dre:692329; dre:368284; dre:324025; dre:445405; dre:324940; dre:562037</t>
  </si>
  <si>
    <t>cpd:C00025; cpd:C00049; cpd:C00026; cpd:C00122; dre:322614</t>
  </si>
  <si>
    <t>cpd:C00025; cpd:C00288; dre:550233</t>
  </si>
  <si>
    <t>cpd:C00606; cpd:C00245; dre:569734</t>
  </si>
  <si>
    <t>cpd:C00148; cpd:C00025; cpd:C03912; dre:494055; dre:567881; dre:569184; dre:322614</t>
  </si>
  <si>
    <t>cpd:C00149; cpd:C00033; cpd:C00122; dre:378727; dre:324201</t>
  </si>
  <si>
    <t>cpd:C00093; cpd:C00258; dre:436610; dre:406734</t>
  </si>
  <si>
    <t>cpd:C00025; dre:394181; dre:64607; dre:321294; dre:562037</t>
  </si>
  <si>
    <t>cpd:C01233; cpd:C00670; dre:406470; dre:791915</t>
  </si>
  <si>
    <t>cpd:C00346; cpd:C00093; cpd:C00670; cpd:C13482; cpd:C04308; cpd:C01233; dre:406734</t>
  </si>
  <si>
    <t>cpd:C00051; cpd:C00025; cpd:C01879; dre:569734; dre:552981</t>
  </si>
  <si>
    <t>cpd:C00031</t>
  </si>
  <si>
    <t>cpd:C00836; cpd:C12144; cpd:C00346; dre:567592; dre:569930</t>
  </si>
  <si>
    <t>cpd:C00249; cpd:C00346; dre:556797</t>
  </si>
  <si>
    <t>dre:541539</t>
  </si>
  <si>
    <t>cpd:C00033; dre:324201; dre:378727</t>
  </si>
  <si>
    <t>cpd:C00049; dre:447889</t>
  </si>
  <si>
    <t>dre:563241; dre:677660</t>
  </si>
  <si>
    <t>cpd:C00026; dre:324201</t>
  </si>
  <si>
    <t>cpd:C00031; cpd:C01697</t>
  </si>
  <si>
    <t>cpd:C00671; cpd:C00141; dre:777632</t>
  </si>
  <si>
    <t>cpd:C03827</t>
  </si>
  <si>
    <t>cpd:C00249; dre:406648</t>
  </si>
  <si>
    <t>cpd:C00385; cpd:C00294; cpd:C00366; cpd:C00059; dre:447889</t>
  </si>
  <si>
    <t>dre:555899</t>
  </si>
  <si>
    <t>dre:492518</t>
  </si>
  <si>
    <t>dre:569734</t>
  </si>
  <si>
    <t xml:space="preserve">Input IDs and LFCs for only DEGs raw p-value &lt;0.05(no LFC threshold) </t>
  </si>
  <si>
    <t xml:space="preserve">Input all metabolite features with LFC regardless of signficiance </t>
  </si>
  <si>
    <t>cpd:C00026; cpd:C00311; cpd:C00149; cpd:C00417; cpd:C00122; dre:393884; dre:562149; dre:322670; dre:324201</t>
  </si>
  <si>
    <t>cpd:C00148; cpd:C00025; cpd:C03912; dre:796865; dre:494055; dre:567881; dre:569184; dre:322614</t>
  </si>
  <si>
    <t>cpd:C06055; cpd:C00847; dre:327512; dre:402868</t>
  </si>
  <si>
    <t>cpd:C00606; cpd:C02356; cpd:C00109; cpd:C02218; dre:393315; dre:571201; dre:327512</t>
  </si>
  <si>
    <t>cpd:C07086; dre:406651; dre:445287</t>
  </si>
  <si>
    <t>cpd:C00149; cpd:C00033; cpd:C00122; dre:445094; dre:324201</t>
  </si>
  <si>
    <t>cpd:C00836; cpd:C12144; cpd:C00346; dre:327075; dre:569930; dre:793735; dre:393912</t>
  </si>
  <si>
    <t>cpd:C00346; cpd:C00093; cpd:C00670; cpd:C13482; cpd:C04308; cpd:C01233; dre:550404</t>
  </si>
  <si>
    <t>Selenocompound metabolism</t>
  </si>
  <si>
    <t>dre:352924; dre:393315; dre:571201</t>
  </si>
  <si>
    <t>cpd:C01179; cpd:C05584; cpd:C00122; cpd:C00628; dre:406651; dre:445287</t>
  </si>
  <si>
    <t>cpd:C01233; cpd:C00670; dre:793735</t>
  </si>
  <si>
    <t>cpd:C00051; cpd:C00025; cpd:C01879; dre:393778</t>
  </si>
  <si>
    <t>Riboflavin metabolism</t>
  </si>
  <si>
    <t>dre:503759</t>
  </si>
  <si>
    <t>cpd:C00198; cpd:C00258; dre:450077</t>
  </si>
  <si>
    <t>cpd:C00026; dre:324201; dre:494076</t>
  </si>
  <si>
    <t>cpd:C00258; cpd:C00109; dre:796865; dre:327512</t>
  </si>
  <si>
    <t>cpd:C00049; cpd:C00148; cpd:C00025; dre:368284</t>
  </si>
  <si>
    <t>cpd:C01179; dre:445287</t>
  </si>
  <si>
    <t>dre:406651; dre:494076; dre:393315; dre:571201</t>
  </si>
  <si>
    <t>cpd:C00033; dre:324201; dre:445094</t>
  </si>
  <si>
    <t>cpd:C00385; cpd:C00294; cpd:C00366; cpd:C00059; dre:393867; dre:436989; dre:140424; dre:368410</t>
  </si>
  <si>
    <t>cpd:C00031; dre:567798</t>
  </si>
  <si>
    <t>cpd:C03827; dre:393461</t>
  </si>
  <si>
    <t>cpd:C00025; dre:321294</t>
  </si>
  <si>
    <t>Mannose type O-glycan biosynthesis</t>
  </si>
  <si>
    <t>dre:569769</t>
  </si>
  <si>
    <t>cpd:C00049</t>
  </si>
  <si>
    <t>Glycosaminoglycan degradation</t>
  </si>
  <si>
    <t>dre:562480</t>
  </si>
  <si>
    <t>Lysine degradation</t>
  </si>
  <si>
    <t>dre:494076</t>
  </si>
  <si>
    <t>cpd:C00249; dre:573723</t>
  </si>
  <si>
    <t>dre:548346</t>
  </si>
  <si>
    <t>dre:393461</t>
  </si>
  <si>
    <t>6.4249e-05</t>
  </si>
  <si>
    <t>Mucin type O-glycan biosynthesis</t>
  </si>
  <si>
    <t>Drug metabolism - cytochrome P450</t>
  </si>
  <si>
    <t>Drug metabolism - other enzymes</t>
  </si>
  <si>
    <t>Glycosphingolipid biosynthesis - globo and isoglobo series</t>
  </si>
  <si>
    <t>Glycosphingolipid biosynthesis - ganglio series</t>
  </si>
  <si>
    <t>Primary bile acid biosynthesis</t>
  </si>
  <si>
    <t>Steroid biosynthesis</t>
  </si>
  <si>
    <t>N-Glycan biosynthesis</t>
  </si>
  <si>
    <t>cpd:C01042; cpd:C00049; cpd:C00025; cpd:C00940; cpd:C03912; cpd:C00122; cpd:C00026; dre:557232</t>
  </si>
  <si>
    <t>cpd:C00346; cpd:C00093; cpd:C00670; cpd:C13482; cpd:C04308; cpd:C01233; dre:558437; dre:492483</t>
  </si>
  <si>
    <t>cpd:C00025; cpd:C05827; cpd:C00049; dre:557232</t>
  </si>
  <si>
    <t>cpd:C00093; cpd:C00258; dre:558437; dre:793926</t>
  </si>
  <si>
    <t>cpd:C06055; cpd:C00847; dre:570457</t>
  </si>
  <si>
    <t>cpd:C00606; cpd:C02356; cpd:C00109; cpd:C02218; dre:553187; dre:30496</t>
  </si>
  <si>
    <t>cpd:C00049; cpd:C00148; cpd:C00025; dre:394188; dre:324025; dre:334393</t>
  </si>
  <si>
    <t>cpd:C00149; cpd:C00033; cpd:C00122; dre:30496</t>
  </si>
  <si>
    <t>cpd:C00051; cpd:C00025; cpd:C01879; dre:563972</t>
  </si>
  <si>
    <t>cpd:C03827; dre:393461; dre:793926</t>
  </si>
  <si>
    <t>cpd:C00049; dre:791647; dre:570457</t>
  </si>
  <si>
    <t>dre:445562; dre:553668</t>
  </si>
  <si>
    <t>cpd:C00105; cpd:C00299; cpd:C02642; cpd:C00106; dre:436692; dre:447928</t>
  </si>
  <si>
    <t>cpd:C00109; cpd:C00163; dre:30496</t>
  </si>
  <si>
    <t>cpd:C01179; cpd:C05584; cpd:C00122; cpd:C00628; dre:570457</t>
  </si>
  <si>
    <t>dre:563972; dre:570457</t>
  </si>
  <si>
    <t>cpd:C00249; cpd:C00346; dre:321218</t>
  </si>
  <si>
    <t>cpd:C00025; dre:553384; dre:64607</t>
  </si>
  <si>
    <t>dre:560856; dre:567970; dre:572649</t>
  </si>
  <si>
    <t>cpd:C00836; cpd:C12144; cpd:C00346; dre:567592</t>
  </si>
  <si>
    <t>cpd:C00385; cpd:C00294; cpd:C00366; cpd:C00059; dre:791647; dre:436692; dre:415146; dre:140426</t>
  </si>
  <si>
    <t>dre:415146; dre:447928; dre:563972</t>
  </si>
  <si>
    <t>dre:445562</t>
  </si>
  <si>
    <t>cpd:C00671; cpd:C00141; dre:570457</t>
  </si>
  <si>
    <t>cpd:C00033; dre:30496</t>
  </si>
  <si>
    <t>dre:570457</t>
  </si>
  <si>
    <t>cpd:C14857; dre:563972</t>
  </si>
  <si>
    <t>dre:393461; dre:406323</t>
  </si>
  <si>
    <t>dre:566479</t>
  </si>
  <si>
    <t>dre:565876</t>
  </si>
  <si>
    <t>dre:368360</t>
  </si>
  <si>
    <t>dre:569494</t>
  </si>
  <si>
    <t>dre:246226</t>
  </si>
  <si>
    <t>Steroid hormone biosynthesis</t>
  </si>
  <si>
    <t>cpd:C01042; cpd:C00049; cpd:C00025; cpd:C00940; cpd:C03912; cpd:C00122; cpd:C00026; dre:378441</t>
  </si>
  <si>
    <t>cpd:C00606; cpd:C00245; dre:378441; dre:569734</t>
  </si>
  <si>
    <t>cpd:C00026; cpd:C00311; cpd:C00149; cpd:C00417; cpd:C00122; dre:436672</t>
  </si>
  <si>
    <t>cpd:C02642; cpd:C00049; cpd:C00106; cpd:C00141; dre:405829</t>
  </si>
  <si>
    <t>cpd:C00049; cpd:C02642; cpd:C00106; dre:378441; dre:405829</t>
  </si>
  <si>
    <t>cpd:C00025; cpd:C00246; cpd:C00026; dre:378441</t>
  </si>
  <si>
    <t>cpd:C00059; cpd:C00320; dre:566675</t>
  </si>
  <si>
    <t>cpd:C00148; cpd:C00025; cpd:C03912; dre:494055; dre:569184; dre:560682</t>
  </si>
  <si>
    <t>cpd:C00051; cpd:C00025; cpd:C01879; dre:767682; dre:569734</t>
  </si>
  <si>
    <t>cpd:C00149; cpd:C00033; cpd:C00122; dre:436672</t>
  </si>
  <si>
    <t>cpd:C00105; cpd:C00299; cpd:C02642; cpd:C00106; dre:405829; dre:327590</t>
  </si>
  <si>
    <t>cpd:C01179; cpd:C05584; cpd:C00122; cpd:C00628; dre:565370</t>
  </si>
  <si>
    <t>cpd:C00049; cpd:C00148; cpd:C00025; dre:324940</t>
  </si>
  <si>
    <t>cpd:C00836; cpd:C12144; cpd:C00346; dre:393912</t>
  </si>
  <si>
    <t>cpd:C00385; cpd:C00294; cpd:C00366; cpd:C00059; dre:447889; dre:140426; dre:393845</t>
  </si>
  <si>
    <t>cpd:C00026; dre:436672</t>
  </si>
  <si>
    <t>cpd:C00033; dre:436672</t>
  </si>
  <si>
    <t>dre:405829; dre:327590</t>
  </si>
  <si>
    <t>cpd:C00258; cpd:C00109</t>
  </si>
  <si>
    <t>dre:562840</t>
  </si>
  <si>
    <t>dre:246226; dre:569734</t>
  </si>
  <si>
    <t>cpd:C00025</t>
  </si>
  <si>
    <t>dre:368717</t>
  </si>
  <si>
    <t>dre:403068</t>
  </si>
  <si>
    <t>dre:565370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</si>
</sst>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275D-2257-8A47-A24A-CFFB5660717B}">
  <dimension ref="A1:G23"/>
  <sheetViews>
    <sheetView workbookViewId="0">
      <selection activeCell="M16" sqref="M16"/>
    </sheetView>
  </sheetViews>
  <sheetFormatPr baseColWidth="10" defaultRowHeight="16" x14ac:dyDescent="0.2"/>
  <cols>
    <col min="1" max="1" width="24.1640625" bestFit="1" customWidth="1"/>
  </cols>
  <sheetData>
    <row r="1" spans="1:7" ht="32" customHeight="1" x14ac:dyDescent="0.2">
      <c r="A1" s="2" t="s">
        <v>12</v>
      </c>
      <c r="B1" s="3" t="s">
        <v>0</v>
      </c>
      <c r="C1" s="3"/>
      <c r="D1" s="3"/>
      <c r="E1" s="3" t="s">
        <v>1</v>
      </c>
      <c r="F1" s="3"/>
      <c r="G1" s="3"/>
    </row>
    <row r="2" spans="1:7" x14ac:dyDescent="0.2">
      <c r="A2" s="2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x14ac:dyDescent="0.2">
      <c r="A3" s="1" t="s">
        <v>5</v>
      </c>
      <c r="B3" s="1">
        <v>18</v>
      </c>
      <c r="C3" s="1">
        <v>5</v>
      </c>
      <c r="D3" s="1">
        <v>23</v>
      </c>
      <c r="E3" s="1">
        <v>0</v>
      </c>
      <c r="F3" s="1">
        <v>0</v>
      </c>
      <c r="G3" s="1">
        <v>0</v>
      </c>
    </row>
    <row r="4" spans="1:7" x14ac:dyDescent="0.2">
      <c r="A4" s="1" t="s">
        <v>6</v>
      </c>
      <c r="B4" s="1">
        <v>22</v>
      </c>
      <c r="C4" s="1">
        <v>3</v>
      </c>
      <c r="D4" s="1">
        <v>25</v>
      </c>
      <c r="E4" s="1">
        <v>0</v>
      </c>
      <c r="F4" s="1">
        <v>0</v>
      </c>
      <c r="G4" s="1">
        <v>0</v>
      </c>
    </row>
    <row r="5" spans="1:7" x14ac:dyDescent="0.2">
      <c r="A5" s="1" t="s">
        <v>7</v>
      </c>
      <c r="B5" s="1">
        <v>41</v>
      </c>
      <c r="C5" s="1">
        <v>36</v>
      </c>
      <c r="D5" s="1">
        <v>77</v>
      </c>
      <c r="E5" s="1">
        <v>0</v>
      </c>
      <c r="F5" s="1">
        <v>0</v>
      </c>
      <c r="G5" s="1">
        <v>0</v>
      </c>
    </row>
    <row r="6" spans="1:7" x14ac:dyDescent="0.2">
      <c r="A6" s="1" t="s">
        <v>8</v>
      </c>
      <c r="B6" s="1">
        <v>28</v>
      </c>
      <c r="C6" s="1">
        <v>6</v>
      </c>
      <c r="D6" s="1">
        <v>34</v>
      </c>
      <c r="E6" s="1">
        <v>0</v>
      </c>
      <c r="F6" s="1">
        <v>0</v>
      </c>
      <c r="G6" s="1">
        <v>0</v>
      </c>
    </row>
    <row r="7" spans="1:7" x14ac:dyDescent="0.2">
      <c r="A7" s="1" t="s">
        <v>9</v>
      </c>
      <c r="B7" s="1">
        <v>26</v>
      </c>
      <c r="C7" s="1">
        <v>9</v>
      </c>
      <c r="D7" s="1">
        <v>35</v>
      </c>
      <c r="E7" s="1">
        <v>0</v>
      </c>
      <c r="F7" s="1">
        <v>0</v>
      </c>
      <c r="G7" s="1">
        <v>0</v>
      </c>
    </row>
    <row r="9" spans="1:7" x14ac:dyDescent="0.2">
      <c r="A9" s="1" t="s">
        <v>10</v>
      </c>
    </row>
    <row r="11" spans="1:7" x14ac:dyDescent="0.2">
      <c r="A11" s="2" t="s">
        <v>11</v>
      </c>
      <c r="B11" s="3" t="s">
        <v>0</v>
      </c>
      <c r="C11" s="3"/>
      <c r="D11" s="3"/>
      <c r="E11" s="3" t="s">
        <v>1</v>
      </c>
      <c r="F11" s="3"/>
      <c r="G11" s="3"/>
    </row>
    <row r="12" spans="1:7" x14ac:dyDescent="0.2">
      <c r="A12" s="2"/>
      <c r="B12" s="1" t="s">
        <v>2</v>
      </c>
      <c r="C12" s="1" t="s">
        <v>3</v>
      </c>
      <c r="D12" s="1" t="s">
        <v>4</v>
      </c>
      <c r="E12" s="1" t="s">
        <v>2</v>
      </c>
      <c r="F12" s="1" t="s">
        <v>3</v>
      </c>
      <c r="G12" s="1" t="s">
        <v>4</v>
      </c>
    </row>
    <row r="13" spans="1:7" x14ac:dyDescent="0.2">
      <c r="A13" s="1" t="s">
        <v>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2">
      <c r="A14" s="1" t="s">
        <v>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2">
      <c r="A15" s="1" t="s">
        <v>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2">
      <c r="A16" s="1" t="s">
        <v>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2">
      <c r="A17" s="1" t="s">
        <v>9</v>
      </c>
      <c r="B17" s="1">
        <v>1</v>
      </c>
      <c r="C17" s="1">
        <v>1</v>
      </c>
      <c r="D17" s="1">
        <v>2</v>
      </c>
      <c r="E17" s="1">
        <v>0</v>
      </c>
      <c r="F17" s="1">
        <v>0</v>
      </c>
      <c r="G17" s="1">
        <v>0</v>
      </c>
    </row>
    <row r="19" spans="1:7" x14ac:dyDescent="0.2">
      <c r="A19" s="1" t="s">
        <v>10</v>
      </c>
    </row>
    <row r="22" spans="1:7" x14ac:dyDescent="0.2">
      <c r="A22" t="s">
        <v>153</v>
      </c>
    </row>
    <row r="23" spans="1:7" x14ac:dyDescent="0.2">
      <c r="A23" t="s">
        <v>154</v>
      </c>
    </row>
  </sheetData>
  <mergeCells count="6">
    <mergeCell ref="A1:A2"/>
    <mergeCell ref="B1:D1"/>
    <mergeCell ref="E1:G1"/>
    <mergeCell ref="A11:A12"/>
    <mergeCell ref="B11:D11"/>
    <mergeCell ref="E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80A5-8277-D946-8291-337ED585B4B6}">
  <dimension ref="A1:B50"/>
  <sheetViews>
    <sheetView workbookViewId="0">
      <selection activeCell="E6" sqref="E6"/>
    </sheetView>
  </sheetViews>
  <sheetFormatPr baseColWidth="10" defaultRowHeight="16" x14ac:dyDescent="0.2"/>
  <cols>
    <col min="1" max="1" width="46.5" bestFit="1" customWidth="1"/>
    <col min="2" max="2" width="77" bestFit="1" customWidth="1"/>
  </cols>
  <sheetData>
    <row r="1" spans="1:2" x14ac:dyDescent="0.2"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16</v>
      </c>
      <c r="B3" t="s">
        <v>17</v>
      </c>
    </row>
    <row r="4" spans="1:2" x14ac:dyDescent="0.2">
      <c r="A4" t="s">
        <v>18</v>
      </c>
      <c r="B4" t="s">
        <v>19</v>
      </c>
    </row>
    <row r="5" spans="1:2" x14ac:dyDescent="0.2">
      <c r="A5" t="s">
        <v>20</v>
      </c>
      <c r="B5" t="s">
        <v>21</v>
      </c>
    </row>
    <row r="6" spans="1:2" x14ac:dyDescent="0.2">
      <c r="A6" t="s">
        <v>22</v>
      </c>
      <c r="B6" t="s">
        <v>23</v>
      </c>
    </row>
    <row r="7" spans="1:2" x14ac:dyDescent="0.2">
      <c r="A7" t="s">
        <v>24</v>
      </c>
      <c r="B7" t="s">
        <v>25</v>
      </c>
    </row>
    <row r="8" spans="1:2" x14ac:dyDescent="0.2">
      <c r="A8" t="s">
        <v>26</v>
      </c>
      <c r="B8" t="s">
        <v>27</v>
      </c>
    </row>
    <row r="9" spans="1:2" x14ac:dyDescent="0.2">
      <c r="A9" t="s">
        <v>28</v>
      </c>
      <c r="B9" t="s">
        <v>29</v>
      </c>
    </row>
    <row r="10" spans="1:2" x14ac:dyDescent="0.2">
      <c r="A10" t="s">
        <v>30</v>
      </c>
      <c r="B10" t="s">
        <v>31</v>
      </c>
    </row>
    <row r="11" spans="1:2" x14ac:dyDescent="0.2">
      <c r="A11" t="s">
        <v>32</v>
      </c>
      <c r="B11" t="s">
        <v>33</v>
      </c>
    </row>
    <row r="12" spans="1:2" x14ac:dyDescent="0.2">
      <c r="A12" t="s">
        <v>34</v>
      </c>
      <c r="B12" t="s">
        <v>35</v>
      </c>
    </row>
    <row r="13" spans="1:2" x14ac:dyDescent="0.2">
      <c r="A13" t="s">
        <v>36</v>
      </c>
      <c r="B13" t="s">
        <v>37</v>
      </c>
    </row>
    <row r="14" spans="1:2" x14ac:dyDescent="0.2">
      <c r="A14" t="s">
        <v>38</v>
      </c>
      <c r="B14" t="s">
        <v>39</v>
      </c>
    </row>
    <row r="15" spans="1:2" x14ac:dyDescent="0.2">
      <c r="A15" t="s">
        <v>40</v>
      </c>
      <c r="B15" t="s">
        <v>41</v>
      </c>
    </row>
    <row r="16" spans="1:2" x14ac:dyDescent="0.2">
      <c r="A16" t="s">
        <v>42</v>
      </c>
      <c r="B16" t="s">
        <v>43</v>
      </c>
    </row>
    <row r="17" spans="1:2" x14ac:dyDescent="0.2">
      <c r="A17" t="s">
        <v>44</v>
      </c>
      <c r="B17" t="s">
        <v>45</v>
      </c>
    </row>
    <row r="18" spans="1:2" x14ac:dyDescent="0.2">
      <c r="A18" t="s">
        <v>46</v>
      </c>
      <c r="B18" t="s">
        <v>47</v>
      </c>
    </row>
    <row r="19" spans="1:2" x14ac:dyDescent="0.2">
      <c r="A19" t="s">
        <v>48</v>
      </c>
      <c r="B19" t="s">
        <v>49</v>
      </c>
    </row>
    <row r="20" spans="1:2" x14ac:dyDescent="0.2">
      <c r="A20" t="s">
        <v>50</v>
      </c>
      <c r="B20" t="s">
        <v>51</v>
      </c>
    </row>
    <row r="21" spans="1:2" x14ac:dyDescent="0.2">
      <c r="A21" t="s">
        <v>52</v>
      </c>
      <c r="B21" t="s">
        <v>53</v>
      </c>
    </row>
    <row r="22" spans="1:2" x14ac:dyDescent="0.2">
      <c r="A22" t="s">
        <v>54</v>
      </c>
      <c r="B22" t="s">
        <v>55</v>
      </c>
    </row>
    <row r="23" spans="1:2" x14ac:dyDescent="0.2">
      <c r="A23" t="s">
        <v>56</v>
      </c>
      <c r="B23" t="s">
        <v>57</v>
      </c>
    </row>
    <row r="24" spans="1:2" x14ac:dyDescent="0.2">
      <c r="A24" t="s">
        <v>58</v>
      </c>
      <c r="B24" t="s">
        <v>59</v>
      </c>
    </row>
    <row r="25" spans="1:2" x14ac:dyDescent="0.2">
      <c r="A25" t="s">
        <v>60</v>
      </c>
      <c r="B25" t="s">
        <v>61</v>
      </c>
    </row>
    <row r="26" spans="1:2" x14ac:dyDescent="0.2">
      <c r="A26" t="s">
        <v>62</v>
      </c>
      <c r="B26" t="s">
        <v>63</v>
      </c>
    </row>
    <row r="27" spans="1:2" x14ac:dyDescent="0.2">
      <c r="A27" t="s">
        <v>64</v>
      </c>
      <c r="B27" t="s">
        <v>65</v>
      </c>
    </row>
    <row r="28" spans="1:2" x14ac:dyDescent="0.2">
      <c r="A28" t="s">
        <v>66</v>
      </c>
      <c r="B28" t="s">
        <v>21</v>
      </c>
    </row>
    <row r="29" spans="1:2" x14ac:dyDescent="0.2">
      <c r="A29" t="s">
        <v>67</v>
      </c>
      <c r="B29" t="s">
        <v>68</v>
      </c>
    </row>
    <row r="30" spans="1:2" x14ac:dyDescent="0.2">
      <c r="A30" t="s">
        <v>69</v>
      </c>
      <c r="B30" t="s">
        <v>70</v>
      </c>
    </row>
    <row r="31" spans="1:2" x14ac:dyDescent="0.2">
      <c r="A31" t="s">
        <v>71</v>
      </c>
      <c r="B31" t="s">
        <v>72</v>
      </c>
    </row>
    <row r="32" spans="1:2" x14ac:dyDescent="0.2">
      <c r="A32" t="s">
        <v>73</v>
      </c>
      <c r="B32" t="s">
        <v>74</v>
      </c>
    </row>
    <row r="33" spans="1:2" x14ac:dyDescent="0.2">
      <c r="A33" t="s">
        <v>75</v>
      </c>
      <c r="B33" t="s">
        <v>76</v>
      </c>
    </row>
    <row r="34" spans="1:2" x14ac:dyDescent="0.2">
      <c r="A34" t="s">
        <v>77</v>
      </c>
      <c r="B34" t="s">
        <v>78</v>
      </c>
    </row>
    <row r="35" spans="1:2" x14ac:dyDescent="0.2">
      <c r="A35" t="s">
        <v>79</v>
      </c>
      <c r="B35" t="s">
        <v>80</v>
      </c>
    </row>
    <row r="36" spans="1:2" x14ac:dyDescent="0.2">
      <c r="A36" t="s">
        <v>81</v>
      </c>
      <c r="B36" t="s">
        <v>82</v>
      </c>
    </row>
    <row r="37" spans="1:2" x14ac:dyDescent="0.2">
      <c r="A37" t="s">
        <v>83</v>
      </c>
      <c r="B37" t="s">
        <v>84</v>
      </c>
    </row>
    <row r="38" spans="1:2" x14ac:dyDescent="0.2">
      <c r="A38" t="s">
        <v>85</v>
      </c>
      <c r="B38" t="s">
        <v>86</v>
      </c>
    </row>
    <row r="39" spans="1:2" x14ac:dyDescent="0.2">
      <c r="A39" t="s">
        <v>87</v>
      </c>
      <c r="B39" t="s">
        <v>88</v>
      </c>
    </row>
    <row r="40" spans="1:2" x14ac:dyDescent="0.2">
      <c r="A40" t="s">
        <v>89</v>
      </c>
      <c r="B40" t="s">
        <v>90</v>
      </c>
    </row>
    <row r="41" spans="1:2" x14ac:dyDescent="0.2">
      <c r="A41" t="s">
        <v>91</v>
      </c>
      <c r="B41" t="s">
        <v>92</v>
      </c>
    </row>
    <row r="42" spans="1:2" x14ac:dyDescent="0.2">
      <c r="A42" t="s">
        <v>93</v>
      </c>
      <c r="B42" t="s">
        <v>94</v>
      </c>
    </row>
    <row r="43" spans="1:2" x14ac:dyDescent="0.2">
      <c r="A43" t="s">
        <v>95</v>
      </c>
      <c r="B43" t="s">
        <v>63</v>
      </c>
    </row>
    <row r="44" spans="1:2" x14ac:dyDescent="0.2">
      <c r="A44" t="s">
        <v>96</v>
      </c>
      <c r="B44" t="s">
        <v>97</v>
      </c>
    </row>
    <row r="45" spans="1:2" x14ac:dyDescent="0.2">
      <c r="A45" t="s">
        <v>98</v>
      </c>
      <c r="B45" t="s">
        <v>99</v>
      </c>
    </row>
    <row r="46" spans="1:2" x14ac:dyDescent="0.2">
      <c r="A46" t="s">
        <v>100</v>
      </c>
      <c r="B46" t="s">
        <v>101</v>
      </c>
    </row>
    <row r="47" spans="1:2" x14ac:dyDescent="0.2">
      <c r="A47" t="s">
        <v>102</v>
      </c>
      <c r="B47" t="s">
        <v>103</v>
      </c>
    </row>
    <row r="48" spans="1:2" x14ac:dyDescent="0.2">
      <c r="A48" t="s">
        <v>104</v>
      </c>
      <c r="B48" t="s">
        <v>105</v>
      </c>
    </row>
    <row r="49" spans="1:2" x14ac:dyDescent="0.2">
      <c r="A49" t="s">
        <v>106</v>
      </c>
      <c r="B49" t="s">
        <v>107</v>
      </c>
    </row>
    <row r="50" spans="1:2" x14ac:dyDescent="0.2">
      <c r="A50" t="s">
        <v>108</v>
      </c>
      <c r="B5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A8B5-23F4-C748-A6BC-94C3DA7D3BDA}">
  <dimension ref="A1:I50"/>
  <sheetViews>
    <sheetView workbookViewId="0">
      <selection activeCell="L10" sqref="L10"/>
    </sheetView>
  </sheetViews>
  <sheetFormatPr baseColWidth="10" defaultRowHeight="16" x14ac:dyDescent="0.2"/>
  <sheetData>
    <row r="1" spans="1:9" x14ac:dyDescent="0.2">
      <c r="B1" t="s">
        <v>109</v>
      </c>
      <c r="C1" t="s">
        <v>110</v>
      </c>
      <c r="D1" t="s">
        <v>111</v>
      </c>
      <c r="E1" t="s">
        <v>112</v>
      </c>
      <c r="F1" t="e">
        <f>-LOG10(p)</f>
        <v>#NAME?</v>
      </c>
      <c r="G1" t="s">
        <v>113</v>
      </c>
      <c r="H1" t="s">
        <v>114</v>
      </c>
      <c r="I1" t="s">
        <v>115</v>
      </c>
    </row>
    <row r="2" spans="1:9" x14ac:dyDescent="0.2">
      <c r="A2" t="s">
        <v>14</v>
      </c>
      <c r="B2">
        <v>56</v>
      </c>
      <c r="C2">
        <v>1.7769999999999999</v>
      </c>
      <c r="D2">
        <v>7</v>
      </c>
      <c r="E2">
        <v>1.6226000000000001E-3</v>
      </c>
      <c r="F2">
        <v>2.7898000000000001</v>
      </c>
      <c r="G2">
        <v>0.13142999999999999</v>
      </c>
      <c r="H2">
        <v>6.5713999999999995E-2</v>
      </c>
      <c r="I2">
        <v>0.27272999999999997</v>
      </c>
    </row>
    <row r="3" spans="1:9" x14ac:dyDescent="0.2">
      <c r="A3" t="s">
        <v>16</v>
      </c>
      <c r="B3">
        <v>56</v>
      </c>
      <c r="C3">
        <v>1.7769999999999999</v>
      </c>
      <c r="D3">
        <v>7</v>
      </c>
      <c r="E3">
        <v>1.6226000000000001E-3</v>
      </c>
      <c r="F3">
        <v>2.7898000000000001</v>
      </c>
      <c r="G3">
        <v>0.13142999999999999</v>
      </c>
      <c r="H3">
        <v>6.5713999999999995E-2</v>
      </c>
      <c r="I3">
        <v>0.52727000000000002</v>
      </c>
    </row>
    <row r="4" spans="1:9" x14ac:dyDescent="0.2">
      <c r="A4" t="s">
        <v>18</v>
      </c>
      <c r="B4">
        <v>12</v>
      </c>
      <c r="C4">
        <v>0.38079000000000002</v>
      </c>
      <c r="D4">
        <v>3</v>
      </c>
      <c r="E4">
        <v>5.4920000000000004E-3</v>
      </c>
      <c r="F4">
        <v>2.2603</v>
      </c>
      <c r="G4">
        <v>0.43386999999999998</v>
      </c>
      <c r="H4">
        <v>0.11582000000000001</v>
      </c>
      <c r="I4">
        <v>0.27272999999999997</v>
      </c>
    </row>
    <row r="5" spans="1:9" x14ac:dyDescent="0.2">
      <c r="A5" t="s">
        <v>20</v>
      </c>
      <c r="B5">
        <v>4</v>
      </c>
      <c r="C5">
        <v>0.12692999999999999</v>
      </c>
      <c r="D5">
        <v>2</v>
      </c>
      <c r="E5">
        <v>5.7197000000000003E-3</v>
      </c>
      <c r="F5">
        <v>2.2425999999999999</v>
      </c>
      <c r="G5">
        <v>0.44613999999999998</v>
      </c>
      <c r="H5">
        <v>0.11582000000000001</v>
      </c>
      <c r="I5">
        <v>1.3332999999999999</v>
      </c>
    </row>
    <row r="6" spans="1:9" x14ac:dyDescent="0.2">
      <c r="A6" t="s">
        <v>22</v>
      </c>
      <c r="B6">
        <v>42</v>
      </c>
      <c r="C6">
        <v>1.3328</v>
      </c>
      <c r="D6">
        <v>5</v>
      </c>
      <c r="E6">
        <v>9.5548999999999999E-3</v>
      </c>
      <c r="F6">
        <v>2.0198</v>
      </c>
      <c r="G6">
        <v>0.73572000000000004</v>
      </c>
      <c r="H6">
        <v>0.14496000000000001</v>
      </c>
      <c r="I6">
        <v>0.56098000000000003</v>
      </c>
    </row>
    <row r="7" spans="1:9" x14ac:dyDescent="0.2">
      <c r="A7" t="s">
        <v>24</v>
      </c>
      <c r="B7">
        <v>28</v>
      </c>
      <c r="C7">
        <v>0.88851000000000002</v>
      </c>
      <c r="D7">
        <v>4</v>
      </c>
      <c r="E7">
        <v>1.0737999999999999E-2</v>
      </c>
      <c r="F7">
        <v>1.9691000000000001</v>
      </c>
      <c r="G7">
        <v>0.81608000000000003</v>
      </c>
      <c r="H7">
        <v>0.14496000000000001</v>
      </c>
      <c r="I7">
        <v>0.33333000000000002</v>
      </c>
    </row>
    <row r="8" spans="1:9" x14ac:dyDescent="0.2">
      <c r="A8" t="s">
        <v>26</v>
      </c>
      <c r="B8">
        <v>35</v>
      </c>
      <c r="C8">
        <v>1.1106</v>
      </c>
      <c r="D8">
        <v>4</v>
      </c>
      <c r="E8">
        <v>2.3238999999999999E-2</v>
      </c>
      <c r="F8">
        <v>1.6337999999999999</v>
      </c>
      <c r="G8">
        <v>1</v>
      </c>
      <c r="H8">
        <v>0.26890999999999998</v>
      </c>
      <c r="I8">
        <v>0.20588000000000001</v>
      </c>
    </row>
    <row r="9" spans="1:9" x14ac:dyDescent="0.2">
      <c r="A9" t="s">
        <v>28</v>
      </c>
      <c r="B9">
        <v>74</v>
      </c>
      <c r="C9">
        <v>2.3481999999999998</v>
      </c>
      <c r="D9">
        <v>6</v>
      </c>
      <c r="E9">
        <v>2.7924999999999998E-2</v>
      </c>
      <c r="F9">
        <v>1.554</v>
      </c>
      <c r="G9">
        <v>1</v>
      </c>
      <c r="H9">
        <v>0.28273999999999999</v>
      </c>
      <c r="I9">
        <v>0.15068000000000001</v>
      </c>
    </row>
    <row r="10" spans="1:9" x14ac:dyDescent="0.2">
      <c r="A10" t="s">
        <v>30</v>
      </c>
      <c r="B10">
        <v>10</v>
      </c>
      <c r="C10">
        <v>0.31731999999999999</v>
      </c>
      <c r="D10">
        <v>2</v>
      </c>
      <c r="E10">
        <v>3.7912000000000001E-2</v>
      </c>
      <c r="F10">
        <v>1.4212</v>
      </c>
      <c r="G10">
        <v>1</v>
      </c>
      <c r="H10">
        <v>0.3412</v>
      </c>
      <c r="I10">
        <v>0.33333000000000002</v>
      </c>
    </row>
    <row r="11" spans="1:9" x14ac:dyDescent="0.2">
      <c r="A11" t="s">
        <v>32</v>
      </c>
      <c r="B11">
        <v>46</v>
      </c>
      <c r="C11">
        <v>1.4597</v>
      </c>
      <c r="D11">
        <v>4</v>
      </c>
      <c r="E11">
        <v>5.5844999999999999E-2</v>
      </c>
      <c r="F11">
        <v>1.2529999999999999</v>
      </c>
      <c r="G11">
        <v>1</v>
      </c>
      <c r="H11">
        <v>0.45234000000000002</v>
      </c>
      <c r="I11">
        <v>8.8888999999999996E-2</v>
      </c>
    </row>
    <row r="12" spans="1:9" x14ac:dyDescent="0.2">
      <c r="A12" t="s">
        <v>34</v>
      </c>
      <c r="B12">
        <v>29</v>
      </c>
      <c r="C12">
        <v>0.92023999999999995</v>
      </c>
      <c r="D12">
        <v>3</v>
      </c>
      <c r="E12">
        <v>6.2111E-2</v>
      </c>
      <c r="F12">
        <v>1.2068000000000001</v>
      </c>
      <c r="G12">
        <v>1</v>
      </c>
      <c r="H12">
        <v>0.45530999999999999</v>
      </c>
      <c r="I12">
        <v>0.10714</v>
      </c>
    </row>
    <row r="13" spans="1:9" x14ac:dyDescent="0.2">
      <c r="A13" t="s">
        <v>36</v>
      </c>
      <c r="B13">
        <v>92</v>
      </c>
      <c r="C13">
        <v>2.9194</v>
      </c>
      <c r="D13">
        <v>6</v>
      </c>
      <c r="E13">
        <v>6.8824999999999997E-2</v>
      </c>
      <c r="F13">
        <v>1.1623000000000001</v>
      </c>
      <c r="G13">
        <v>1</v>
      </c>
      <c r="H13">
        <v>0.45530999999999999</v>
      </c>
      <c r="I13">
        <v>0.25274999999999997</v>
      </c>
    </row>
    <row r="14" spans="1:9" x14ac:dyDescent="0.2">
      <c r="A14" t="s">
        <v>38</v>
      </c>
      <c r="B14">
        <v>31</v>
      </c>
      <c r="C14">
        <v>0.98370000000000002</v>
      </c>
      <c r="D14">
        <v>3</v>
      </c>
      <c r="E14">
        <v>7.3075000000000001E-2</v>
      </c>
      <c r="F14">
        <v>1.1362000000000001</v>
      </c>
      <c r="G14">
        <v>1</v>
      </c>
      <c r="H14">
        <v>0.45530999999999999</v>
      </c>
      <c r="I14">
        <v>0.16667000000000001</v>
      </c>
    </row>
    <row r="15" spans="1:9" x14ac:dyDescent="0.2">
      <c r="A15" t="s">
        <v>40</v>
      </c>
      <c r="B15">
        <v>15</v>
      </c>
      <c r="C15">
        <v>0.47599000000000002</v>
      </c>
      <c r="D15">
        <v>2</v>
      </c>
      <c r="E15">
        <v>7.9916000000000001E-2</v>
      </c>
      <c r="F15">
        <v>1.0973999999999999</v>
      </c>
      <c r="G15">
        <v>1</v>
      </c>
      <c r="H15">
        <v>0.46237</v>
      </c>
      <c r="I15">
        <v>0.5</v>
      </c>
    </row>
    <row r="16" spans="1:9" x14ac:dyDescent="0.2">
      <c r="A16" t="s">
        <v>42</v>
      </c>
      <c r="B16">
        <v>35</v>
      </c>
      <c r="C16">
        <v>1.1106</v>
      </c>
      <c r="D16">
        <v>3</v>
      </c>
      <c r="E16">
        <v>9.7366999999999995E-2</v>
      </c>
      <c r="F16">
        <v>1.0116000000000001</v>
      </c>
      <c r="G16">
        <v>1</v>
      </c>
      <c r="H16">
        <v>0.50334000000000001</v>
      </c>
      <c r="I16">
        <v>0.23529</v>
      </c>
    </row>
    <row r="17" spans="1:9" x14ac:dyDescent="0.2">
      <c r="A17" t="s">
        <v>44</v>
      </c>
      <c r="B17">
        <v>17</v>
      </c>
      <c r="C17">
        <v>0.53944999999999999</v>
      </c>
      <c r="D17">
        <v>2</v>
      </c>
      <c r="E17">
        <v>9.9424999999999999E-2</v>
      </c>
      <c r="F17">
        <v>1.0024999999999999</v>
      </c>
      <c r="G17">
        <v>1</v>
      </c>
      <c r="H17">
        <v>0.50334000000000001</v>
      </c>
      <c r="I17">
        <v>0.375</v>
      </c>
    </row>
    <row r="18" spans="1:9" x14ac:dyDescent="0.2">
      <c r="A18" t="s">
        <v>46</v>
      </c>
      <c r="B18">
        <v>21</v>
      </c>
      <c r="C18">
        <v>0.66637999999999997</v>
      </c>
      <c r="D18">
        <v>2</v>
      </c>
      <c r="E18">
        <v>0.14172999999999999</v>
      </c>
      <c r="F18">
        <v>0.84853000000000001</v>
      </c>
      <c r="G18">
        <v>1</v>
      </c>
      <c r="H18">
        <v>0.67532000000000003</v>
      </c>
      <c r="I18">
        <v>0.15</v>
      </c>
    </row>
    <row r="19" spans="1:9" x14ac:dyDescent="0.2">
      <c r="A19" t="s">
        <v>48</v>
      </c>
      <c r="B19">
        <v>72</v>
      </c>
      <c r="C19">
        <v>2.2847</v>
      </c>
      <c r="D19">
        <v>4</v>
      </c>
      <c r="E19">
        <v>0.19275999999999999</v>
      </c>
      <c r="F19">
        <v>0.71497999999999995</v>
      </c>
      <c r="G19">
        <v>1</v>
      </c>
      <c r="H19">
        <v>0.82548999999999995</v>
      </c>
      <c r="I19">
        <v>0.19717999999999999</v>
      </c>
    </row>
    <row r="20" spans="1:9" x14ac:dyDescent="0.2">
      <c r="A20" t="s">
        <v>50</v>
      </c>
      <c r="B20">
        <v>48</v>
      </c>
      <c r="C20">
        <v>1.5232000000000001</v>
      </c>
      <c r="D20">
        <v>3</v>
      </c>
      <c r="E20">
        <v>0.19363</v>
      </c>
      <c r="F20">
        <v>0.71301999999999999</v>
      </c>
      <c r="G20">
        <v>1</v>
      </c>
      <c r="H20">
        <v>0.82548999999999995</v>
      </c>
      <c r="I20">
        <v>0.34043000000000001</v>
      </c>
    </row>
    <row r="21" spans="1:9" x14ac:dyDescent="0.2">
      <c r="A21" t="s">
        <v>52</v>
      </c>
      <c r="B21">
        <v>50</v>
      </c>
      <c r="C21">
        <v>1.5866</v>
      </c>
      <c r="D21">
        <v>3</v>
      </c>
      <c r="E21">
        <v>0.21016000000000001</v>
      </c>
      <c r="F21">
        <v>0.67745</v>
      </c>
      <c r="G21">
        <v>1</v>
      </c>
      <c r="H21">
        <v>0.85114000000000001</v>
      </c>
      <c r="I21">
        <v>0.16327</v>
      </c>
    </row>
    <row r="22" spans="1:9" x14ac:dyDescent="0.2">
      <c r="A22" t="s">
        <v>54</v>
      </c>
      <c r="B22">
        <v>55</v>
      </c>
      <c r="C22">
        <v>1.7453000000000001</v>
      </c>
      <c r="D22">
        <v>3</v>
      </c>
      <c r="E22">
        <v>0.25270999999999999</v>
      </c>
      <c r="F22">
        <v>0.59738000000000002</v>
      </c>
      <c r="G22">
        <v>1</v>
      </c>
      <c r="H22">
        <v>0.94874999999999998</v>
      </c>
      <c r="I22">
        <v>9.2592999999999995E-2</v>
      </c>
    </row>
    <row r="23" spans="1:9" x14ac:dyDescent="0.2">
      <c r="A23" t="s">
        <v>56</v>
      </c>
      <c r="B23">
        <v>59</v>
      </c>
      <c r="C23">
        <v>1.8722000000000001</v>
      </c>
      <c r="D23">
        <v>3</v>
      </c>
      <c r="E23">
        <v>0.28761999999999999</v>
      </c>
      <c r="F23">
        <v>0.54117999999999999</v>
      </c>
      <c r="G23">
        <v>1</v>
      </c>
      <c r="H23">
        <v>0.94874999999999998</v>
      </c>
      <c r="I23">
        <v>0.31034</v>
      </c>
    </row>
    <row r="24" spans="1:9" x14ac:dyDescent="0.2">
      <c r="A24" t="s">
        <v>58</v>
      </c>
      <c r="B24">
        <v>34</v>
      </c>
      <c r="C24">
        <v>1.0789</v>
      </c>
      <c r="D24">
        <v>2</v>
      </c>
      <c r="E24">
        <v>0.29380000000000001</v>
      </c>
      <c r="F24">
        <v>0.53193999999999997</v>
      </c>
      <c r="G24">
        <v>1</v>
      </c>
      <c r="H24">
        <v>0.94874999999999998</v>
      </c>
      <c r="I24">
        <v>0.15151999999999999</v>
      </c>
    </row>
    <row r="25" spans="1:9" x14ac:dyDescent="0.2">
      <c r="A25" t="s">
        <v>60</v>
      </c>
      <c r="B25">
        <v>60</v>
      </c>
      <c r="C25">
        <v>1.9038999999999999</v>
      </c>
      <c r="D25">
        <v>3</v>
      </c>
      <c r="E25">
        <v>0.29642000000000002</v>
      </c>
      <c r="F25">
        <v>0.52808999999999995</v>
      </c>
      <c r="G25">
        <v>1</v>
      </c>
      <c r="H25">
        <v>0.94874999999999998</v>
      </c>
      <c r="I25">
        <v>0.25424000000000002</v>
      </c>
    </row>
    <row r="26" spans="1:9" x14ac:dyDescent="0.2">
      <c r="A26" t="s">
        <v>62</v>
      </c>
      <c r="B26">
        <v>11</v>
      </c>
      <c r="C26">
        <v>0.34905999999999998</v>
      </c>
      <c r="D26">
        <v>1</v>
      </c>
      <c r="E26">
        <v>0.29916999999999999</v>
      </c>
      <c r="F26">
        <v>0.52407999999999999</v>
      </c>
      <c r="G26">
        <v>1</v>
      </c>
      <c r="H26">
        <v>0.94874999999999998</v>
      </c>
      <c r="I26">
        <v>0.5</v>
      </c>
    </row>
    <row r="27" spans="1:9" x14ac:dyDescent="0.2">
      <c r="A27" t="s">
        <v>64</v>
      </c>
      <c r="B27">
        <v>88</v>
      </c>
      <c r="C27">
        <v>2.7925</v>
      </c>
      <c r="D27">
        <v>4</v>
      </c>
      <c r="E27">
        <v>0.30453999999999998</v>
      </c>
      <c r="F27">
        <v>0.51636000000000004</v>
      </c>
      <c r="G27">
        <v>1</v>
      </c>
      <c r="H27">
        <v>0.94874999999999998</v>
      </c>
      <c r="I27">
        <v>0.16092000000000001</v>
      </c>
    </row>
    <row r="28" spans="1:9" x14ac:dyDescent="0.2">
      <c r="A28" t="s">
        <v>66</v>
      </c>
      <c r="B28">
        <v>39</v>
      </c>
      <c r="C28">
        <v>1.2376</v>
      </c>
      <c r="D28">
        <v>2</v>
      </c>
      <c r="E28">
        <v>0.35289999999999999</v>
      </c>
      <c r="F28">
        <v>0.45234999999999997</v>
      </c>
      <c r="G28">
        <v>1</v>
      </c>
      <c r="H28">
        <v>0.98426000000000002</v>
      </c>
      <c r="I28">
        <v>0.39473999999999998</v>
      </c>
    </row>
    <row r="29" spans="1:9" x14ac:dyDescent="0.2">
      <c r="A29" t="s">
        <v>67</v>
      </c>
      <c r="B29">
        <v>40</v>
      </c>
      <c r="C29">
        <v>1.2693000000000001</v>
      </c>
      <c r="D29">
        <v>2</v>
      </c>
      <c r="E29">
        <v>0.36453999999999998</v>
      </c>
      <c r="F29">
        <v>0.43825999999999998</v>
      </c>
      <c r="G29">
        <v>1</v>
      </c>
      <c r="H29">
        <v>0.98426000000000002</v>
      </c>
      <c r="I29">
        <v>5.1282000000000001E-2</v>
      </c>
    </row>
    <row r="30" spans="1:9" x14ac:dyDescent="0.2">
      <c r="A30" t="s">
        <v>69</v>
      </c>
      <c r="B30">
        <v>40</v>
      </c>
      <c r="C30">
        <v>1.2693000000000001</v>
      </c>
      <c r="D30">
        <v>2</v>
      </c>
      <c r="E30">
        <v>0.36453999999999998</v>
      </c>
      <c r="F30">
        <v>0.43825999999999998</v>
      </c>
      <c r="G30">
        <v>1</v>
      </c>
      <c r="H30">
        <v>0.98426000000000002</v>
      </c>
      <c r="I30">
        <v>7.6923000000000005E-2</v>
      </c>
    </row>
    <row r="31" spans="1:9" x14ac:dyDescent="0.2">
      <c r="A31" t="s">
        <v>71</v>
      </c>
      <c r="B31">
        <v>40</v>
      </c>
      <c r="C31">
        <v>1.2693000000000001</v>
      </c>
      <c r="D31">
        <v>2</v>
      </c>
      <c r="E31">
        <v>0.36453999999999998</v>
      </c>
      <c r="F31">
        <v>0.43825999999999998</v>
      </c>
      <c r="G31">
        <v>1</v>
      </c>
      <c r="H31">
        <v>0.98426000000000002</v>
      </c>
      <c r="I31">
        <v>0.12820999999999999</v>
      </c>
    </row>
    <row r="32" spans="1:9" x14ac:dyDescent="0.2">
      <c r="A32" t="s">
        <v>73</v>
      </c>
      <c r="B32">
        <v>70</v>
      </c>
      <c r="C32">
        <v>2.2212999999999998</v>
      </c>
      <c r="D32">
        <v>3</v>
      </c>
      <c r="E32">
        <v>0.38469999999999999</v>
      </c>
      <c r="F32">
        <v>0.41488000000000003</v>
      </c>
      <c r="G32">
        <v>1</v>
      </c>
      <c r="H32">
        <v>1</v>
      </c>
      <c r="I32">
        <v>0.14493</v>
      </c>
    </row>
    <row r="33" spans="1:9" x14ac:dyDescent="0.2">
      <c r="A33" t="s">
        <v>75</v>
      </c>
      <c r="B33">
        <v>72</v>
      </c>
      <c r="C33">
        <v>2.2847</v>
      </c>
      <c r="D33">
        <v>3</v>
      </c>
      <c r="E33">
        <v>0.40217999999999998</v>
      </c>
      <c r="F33">
        <v>0.39557999999999999</v>
      </c>
      <c r="G33">
        <v>1</v>
      </c>
      <c r="H33">
        <v>1</v>
      </c>
      <c r="I33">
        <v>8.4506999999999999E-2</v>
      </c>
    </row>
    <row r="34" spans="1:9" x14ac:dyDescent="0.2">
      <c r="A34" t="s">
        <v>77</v>
      </c>
      <c r="B34">
        <v>46</v>
      </c>
      <c r="C34">
        <v>1.4597</v>
      </c>
      <c r="D34">
        <v>2</v>
      </c>
      <c r="E34">
        <v>0.43257000000000001</v>
      </c>
      <c r="F34">
        <v>0.36393999999999999</v>
      </c>
      <c r="G34">
        <v>1</v>
      </c>
      <c r="H34">
        <v>1</v>
      </c>
      <c r="I34">
        <v>0.15556</v>
      </c>
    </row>
    <row r="35" spans="1:9" x14ac:dyDescent="0.2">
      <c r="A35" t="s">
        <v>79</v>
      </c>
      <c r="B35">
        <v>18</v>
      </c>
      <c r="C35">
        <v>0.57118000000000002</v>
      </c>
      <c r="D35">
        <v>1</v>
      </c>
      <c r="E35">
        <v>0.44156000000000001</v>
      </c>
      <c r="F35">
        <v>0.35500999999999999</v>
      </c>
      <c r="G35">
        <v>1</v>
      </c>
      <c r="H35">
        <v>1</v>
      </c>
      <c r="I35">
        <v>0.11765</v>
      </c>
    </row>
    <row r="36" spans="1:9" x14ac:dyDescent="0.2">
      <c r="A36" t="s">
        <v>81</v>
      </c>
      <c r="B36">
        <v>107</v>
      </c>
      <c r="C36">
        <v>3.3954</v>
      </c>
      <c r="D36">
        <v>4</v>
      </c>
      <c r="E36">
        <v>0.44391000000000003</v>
      </c>
      <c r="F36">
        <v>0.35271000000000002</v>
      </c>
      <c r="G36">
        <v>1</v>
      </c>
      <c r="H36">
        <v>1</v>
      </c>
      <c r="I36">
        <v>0.25472</v>
      </c>
    </row>
    <row r="37" spans="1:9" x14ac:dyDescent="0.2">
      <c r="A37" t="s">
        <v>83</v>
      </c>
      <c r="B37">
        <v>48</v>
      </c>
      <c r="C37">
        <v>1.5232000000000001</v>
      </c>
      <c r="D37">
        <v>2</v>
      </c>
      <c r="E37">
        <v>0.45441999999999999</v>
      </c>
      <c r="F37">
        <v>0.34254000000000001</v>
      </c>
      <c r="G37">
        <v>1</v>
      </c>
      <c r="H37">
        <v>1</v>
      </c>
      <c r="I37">
        <v>4.2553000000000001E-2</v>
      </c>
    </row>
    <row r="38" spans="1:9" x14ac:dyDescent="0.2">
      <c r="A38" t="s">
        <v>85</v>
      </c>
      <c r="B38">
        <v>81</v>
      </c>
      <c r="C38">
        <v>2.5703</v>
      </c>
      <c r="D38">
        <v>3</v>
      </c>
      <c r="E38">
        <v>0.47886000000000001</v>
      </c>
      <c r="F38">
        <v>0.31979000000000002</v>
      </c>
      <c r="G38">
        <v>1</v>
      </c>
      <c r="H38">
        <v>1</v>
      </c>
      <c r="I38">
        <v>0.15</v>
      </c>
    </row>
    <row r="39" spans="1:9" x14ac:dyDescent="0.2">
      <c r="A39" t="s">
        <v>87</v>
      </c>
      <c r="B39">
        <v>54</v>
      </c>
      <c r="C39">
        <v>1.7136</v>
      </c>
      <c r="D39">
        <v>2</v>
      </c>
      <c r="E39">
        <v>0.51702000000000004</v>
      </c>
      <c r="F39">
        <v>0.28649999999999998</v>
      </c>
      <c r="G39">
        <v>1</v>
      </c>
      <c r="H39">
        <v>1</v>
      </c>
      <c r="I39">
        <v>5.6604000000000002E-2</v>
      </c>
    </row>
    <row r="40" spans="1:9" x14ac:dyDescent="0.2">
      <c r="A40" t="s">
        <v>89</v>
      </c>
      <c r="B40">
        <v>121</v>
      </c>
      <c r="C40">
        <v>3.8395999999999999</v>
      </c>
      <c r="D40">
        <v>4</v>
      </c>
      <c r="E40">
        <v>0.54178000000000004</v>
      </c>
      <c r="F40">
        <v>0.26617000000000002</v>
      </c>
      <c r="G40">
        <v>1</v>
      </c>
      <c r="H40">
        <v>1</v>
      </c>
      <c r="I40">
        <v>0.05</v>
      </c>
    </row>
    <row r="41" spans="1:9" x14ac:dyDescent="0.2">
      <c r="A41" t="s">
        <v>91</v>
      </c>
      <c r="B41">
        <v>97</v>
      </c>
      <c r="C41">
        <v>3.0779999999999998</v>
      </c>
      <c r="D41">
        <v>3</v>
      </c>
      <c r="E41">
        <v>0.60279000000000005</v>
      </c>
      <c r="F41">
        <v>0.21983</v>
      </c>
      <c r="G41">
        <v>1</v>
      </c>
      <c r="H41">
        <v>1</v>
      </c>
      <c r="I41">
        <v>0.25</v>
      </c>
    </row>
    <row r="42" spans="1:9" x14ac:dyDescent="0.2">
      <c r="A42" t="s">
        <v>93</v>
      </c>
      <c r="B42">
        <v>174</v>
      </c>
      <c r="C42">
        <v>5.5213999999999999</v>
      </c>
      <c r="D42">
        <v>5</v>
      </c>
      <c r="E42">
        <v>0.65871999999999997</v>
      </c>
      <c r="F42">
        <v>0.18129999999999999</v>
      </c>
      <c r="G42">
        <v>1</v>
      </c>
      <c r="H42">
        <v>1</v>
      </c>
      <c r="I42">
        <v>0.10405</v>
      </c>
    </row>
    <row r="43" spans="1:9" x14ac:dyDescent="0.2">
      <c r="A43" t="s">
        <v>95</v>
      </c>
      <c r="B43">
        <v>34</v>
      </c>
      <c r="C43">
        <v>1.0789</v>
      </c>
      <c r="D43">
        <v>1</v>
      </c>
      <c r="E43">
        <v>0.66857</v>
      </c>
      <c r="F43">
        <v>0.17485000000000001</v>
      </c>
      <c r="G43">
        <v>1</v>
      </c>
      <c r="H43">
        <v>1</v>
      </c>
      <c r="I43">
        <v>6.0606E-2</v>
      </c>
    </row>
    <row r="44" spans="1:9" x14ac:dyDescent="0.2">
      <c r="A44" t="s">
        <v>96</v>
      </c>
      <c r="B44">
        <v>36</v>
      </c>
      <c r="C44">
        <v>1.1424000000000001</v>
      </c>
      <c r="D44">
        <v>1</v>
      </c>
      <c r="E44">
        <v>0.68957999999999997</v>
      </c>
      <c r="F44">
        <v>0.16141</v>
      </c>
      <c r="G44">
        <v>1</v>
      </c>
      <c r="H44">
        <v>1</v>
      </c>
      <c r="I44">
        <v>5.7142999999999999E-2</v>
      </c>
    </row>
    <row r="45" spans="1:9" x14ac:dyDescent="0.2">
      <c r="A45" t="s">
        <v>98</v>
      </c>
      <c r="B45">
        <v>36</v>
      </c>
      <c r="C45">
        <v>1.1424000000000001</v>
      </c>
      <c r="D45">
        <v>1</v>
      </c>
      <c r="E45">
        <v>0.68957999999999997</v>
      </c>
      <c r="F45">
        <v>0.16141</v>
      </c>
      <c r="G45">
        <v>1</v>
      </c>
      <c r="H45">
        <v>1</v>
      </c>
      <c r="I45">
        <v>8.5713999999999999E-2</v>
      </c>
    </row>
    <row r="46" spans="1:9" x14ac:dyDescent="0.2">
      <c r="A46" t="s">
        <v>100</v>
      </c>
      <c r="B46">
        <v>87</v>
      </c>
      <c r="C46">
        <v>2.7606999999999999</v>
      </c>
      <c r="D46">
        <v>2</v>
      </c>
      <c r="E46">
        <v>0.77285000000000004</v>
      </c>
      <c r="F46">
        <v>0.11191</v>
      </c>
      <c r="G46">
        <v>1</v>
      </c>
      <c r="H46">
        <v>1</v>
      </c>
      <c r="I46">
        <v>8.1394999999999995E-2</v>
      </c>
    </row>
    <row r="47" spans="1:9" x14ac:dyDescent="0.2">
      <c r="A47" t="s">
        <v>102</v>
      </c>
      <c r="B47">
        <v>49</v>
      </c>
      <c r="C47">
        <v>1.5548999999999999</v>
      </c>
      <c r="D47">
        <v>1</v>
      </c>
      <c r="E47">
        <v>0.79747000000000001</v>
      </c>
      <c r="F47">
        <v>9.8286999999999999E-2</v>
      </c>
      <c r="G47">
        <v>1</v>
      </c>
      <c r="H47">
        <v>1</v>
      </c>
      <c r="I47">
        <v>2.0833000000000001E-2</v>
      </c>
    </row>
    <row r="48" spans="1:9" x14ac:dyDescent="0.2">
      <c r="A48" t="s">
        <v>104</v>
      </c>
      <c r="B48">
        <v>75</v>
      </c>
      <c r="C48">
        <v>2.3799000000000001</v>
      </c>
      <c r="D48">
        <v>1</v>
      </c>
      <c r="E48">
        <v>0.91442999999999997</v>
      </c>
      <c r="F48">
        <v>3.8850999999999997E-2</v>
      </c>
      <c r="G48">
        <v>1</v>
      </c>
      <c r="H48">
        <v>1</v>
      </c>
      <c r="I48">
        <v>2.7026999999999999E-2</v>
      </c>
    </row>
    <row r="49" spans="1:9" x14ac:dyDescent="0.2">
      <c r="A49" t="s">
        <v>106</v>
      </c>
      <c r="B49">
        <v>78</v>
      </c>
      <c r="C49">
        <v>2.4750999999999999</v>
      </c>
      <c r="D49">
        <v>1</v>
      </c>
      <c r="E49">
        <v>0.92257</v>
      </c>
      <c r="F49">
        <v>3.4999000000000002E-2</v>
      </c>
      <c r="G49">
        <v>1</v>
      </c>
      <c r="H49">
        <v>1</v>
      </c>
      <c r="I49">
        <v>1.2987E-2</v>
      </c>
    </row>
    <row r="50" spans="1:9" x14ac:dyDescent="0.2">
      <c r="A50" t="s">
        <v>108</v>
      </c>
      <c r="B50">
        <v>102</v>
      </c>
      <c r="C50">
        <v>3.2366999999999999</v>
      </c>
      <c r="D50">
        <v>1</v>
      </c>
      <c r="E50">
        <v>0.96540000000000004</v>
      </c>
      <c r="F50">
        <v>1.5295E-2</v>
      </c>
      <c r="G50">
        <v>1</v>
      </c>
      <c r="H50">
        <v>1</v>
      </c>
      <c r="I50">
        <v>1.9802E-2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0195-A364-C843-BC19-BECA3BE33C3C}">
  <dimension ref="A1:B59"/>
  <sheetViews>
    <sheetView tabSelected="1" workbookViewId="0">
      <selection activeCell="L10" sqref="L10"/>
    </sheetView>
  </sheetViews>
  <sheetFormatPr baseColWidth="10" defaultRowHeight="16" x14ac:dyDescent="0.2"/>
  <sheetData>
    <row r="1" spans="1:2" x14ac:dyDescent="0.2">
      <c r="B1" t="s">
        <v>13</v>
      </c>
    </row>
    <row r="2" spans="1:2" x14ac:dyDescent="0.2">
      <c r="A2" t="s">
        <v>16</v>
      </c>
      <c r="B2" t="s">
        <v>234</v>
      </c>
    </row>
    <row r="3" spans="1:2" x14ac:dyDescent="0.2">
      <c r="A3" t="s">
        <v>40</v>
      </c>
      <c r="B3" t="s">
        <v>235</v>
      </c>
    </row>
    <row r="4" spans="1:2" x14ac:dyDescent="0.2">
      <c r="A4" t="s">
        <v>22</v>
      </c>
      <c r="B4" t="s">
        <v>236</v>
      </c>
    </row>
    <row r="5" spans="1:2" x14ac:dyDescent="0.2">
      <c r="A5" t="s">
        <v>14</v>
      </c>
      <c r="B5" t="s">
        <v>15</v>
      </c>
    </row>
    <row r="6" spans="1:2" x14ac:dyDescent="0.2">
      <c r="A6" t="s">
        <v>18</v>
      </c>
      <c r="B6" t="s">
        <v>19</v>
      </c>
    </row>
    <row r="7" spans="1:2" x14ac:dyDescent="0.2">
      <c r="A7" t="s">
        <v>26</v>
      </c>
      <c r="B7" t="s">
        <v>237</v>
      </c>
    </row>
    <row r="8" spans="1:2" x14ac:dyDescent="0.2">
      <c r="A8" t="s">
        <v>42</v>
      </c>
      <c r="B8" t="s">
        <v>238</v>
      </c>
    </row>
    <row r="9" spans="1:2" x14ac:dyDescent="0.2">
      <c r="A9" t="s">
        <v>24</v>
      </c>
      <c r="B9" t="s">
        <v>25</v>
      </c>
    </row>
    <row r="10" spans="1:2" x14ac:dyDescent="0.2">
      <c r="A10" t="s">
        <v>34</v>
      </c>
      <c r="B10" t="s">
        <v>239</v>
      </c>
    </row>
    <row r="11" spans="1:2" x14ac:dyDescent="0.2">
      <c r="A11" t="s">
        <v>44</v>
      </c>
      <c r="B11" t="s">
        <v>240</v>
      </c>
    </row>
    <row r="12" spans="1:2" x14ac:dyDescent="0.2">
      <c r="A12" t="s">
        <v>73</v>
      </c>
      <c r="B12" t="s">
        <v>241</v>
      </c>
    </row>
    <row r="13" spans="1:2" x14ac:dyDescent="0.2">
      <c r="A13" t="s">
        <v>30</v>
      </c>
      <c r="B13" t="s">
        <v>31</v>
      </c>
    </row>
    <row r="14" spans="1:2" x14ac:dyDescent="0.2">
      <c r="A14" t="s">
        <v>56</v>
      </c>
      <c r="B14" t="s">
        <v>242</v>
      </c>
    </row>
    <row r="15" spans="1:2" x14ac:dyDescent="0.2">
      <c r="A15" t="s">
        <v>32</v>
      </c>
      <c r="B15" t="s">
        <v>33</v>
      </c>
    </row>
    <row r="16" spans="1:2" x14ac:dyDescent="0.2">
      <c r="A16" t="s">
        <v>50</v>
      </c>
      <c r="B16" t="s">
        <v>243</v>
      </c>
    </row>
    <row r="17" spans="1:2" x14ac:dyDescent="0.2">
      <c r="A17" t="s">
        <v>38</v>
      </c>
      <c r="B17" t="s">
        <v>39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20</v>
      </c>
      <c r="B19" t="s">
        <v>137</v>
      </c>
    </row>
    <row r="20" spans="1:2" x14ac:dyDescent="0.2">
      <c r="A20" t="s">
        <v>46</v>
      </c>
      <c r="B20" t="s">
        <v>47</v>
      </c>
    </row>
    <row r="21" spans="1:2" x14ac:dyDescent="0.2">
      <c r="A21" t="s">
        <v>81</v>
      </c>
      <c r="B21" t="s">
        <v>244</v>
      </c>
    </row>
    <row r="22" spans="1:2" x14ac:dyDescent="0.2">
      <c r="A22" t="s">
        <v>64</v>
      </c>
      <c r="B22" t="s">
        <v>245</v>
      </c>
    </row>
    <row r="23" spans="1:2" x14ac:dyDescent="0.2">
      <c r="A23" t="s">
        <v>83</v>
      </c>
      <c r="B23" t="s">
        <v>170</v>
      </c>
    </row>
    <row r="24" spans="1:2" x14ac:dyDescent="0.2">
      <c r="A24" t="s">
        <v>48</v>
      </c>
      <c r="B24" t="s">
        <v>49</v>
      </c>
    </row>
    <row r="25" spans="1:2" x14ac:dyDescent="0.2">
      <c r="A25" t="s">
        <v>28</v>
      </c>
      <c r="B25" t="s">
        <v>246</v>
      </c>
    </row>
    <row r="26" spans="1:2" x14ac:dyDescent="0.2">
      <c r="A26" t="s">
        <v>62</v>
      </c>
      <c r="B26" t="s">
        <v>63</v>
      </c>
    </row>
    <row r="27" spans="1:2" x14ac:dyDescent="0.2">
      <c r="A27" t="s">
        <v>85</v>
      </c>
      <c r="B27" t="s">
        <v>247</v>
      </c>
    </row>
    <row r="28" spans="1:2" x14ac:dyDescent="0.2">
      <c r="A28" t="s">
        <v>58</v>
      </c>
      <c r="B28" t="s">
        <v>59</v>
      </c>
    </row>
    <row r="29" spans="1:2" x14ac:dyDescent="0.2">
      <c r="A29" t="s">
        <v>67</v>
      </c>
      <c r="B29" t="s">
        <v>68</v>
      </c>
    </row>
    <row r="30" spans="1:2" x14ac:dyDescent="0.2">
      <c r="A30" t="s">
        <v>69</v>
      </c>
      <c r="B30" t="s">
        <v>142</v>
      </c>
    </row>
    <row r="31" spans="1:2" x14ac:dyDescent="0.2">
      <c r="A31" t="s">
        <v>93</v>
      </c>
      <c r="B31" t="s">
        <v>248</v>
      </c>
    </row>
    <row r="32" spans="1:2" x14ac:dyDescent="0.2">
      <c r="A32" t="s">
        <v>79</v>
      </c>
      <c r="B32" t="s">
        <v>80</v>
      </c>
    </row>
    <row r="33" spans="1:2" x14ac:dyDescent="0.2">
      <c r="A33" t="s">
        <v>195</v>
      </c>
      <c r="B33" t="s">
        <v>222</v>
      </c>
    </row>
    <row r="34" spans="1:2" x14ac:dyDescent="0.2">
      <c r="A34" t="s">
        <v>77</v>
      </c>
      <c r="B34" t="s">
        <v>78</v>
      </c>
    </row>
    <row r="35" spans="1:2" x14ac:dyDescent="0.2">
      <c r="A35" t="s">
        <v>102</v>
      </c>
      <c r="B35" t="s">
        <v>249</v>
      </c>
    </row>
    <row r="36" spans="1:2" x14ac:dyDescent="0.2">
      <c r="A36" t="s">
        <v>52</v>
      </c>
      <c r="B36" t="s">
        <v>145</v>
      </c>
    </row>
    <row r="37" spans="1:2" x14ac:dyDescent="0.2">
      <c r="A37" t="s">
        <v>87</v>
      </c>
      <c r="B37" t="s">
        <v>88</v>
      </c>
    </row>
    <row r="38" spans="1:2" x14ac:dyDescent="0.2">
      <c r="A38" t="s">
        <v>192</v>
      </c>
      <c r="B38" t="s">
        <v>222</v>
      </c>
    </row>
    <row r="39" spans="1:2" x14ac:dyDescent="0.2">
      <c r="A39" t="s">
        <v>60</v>
      </c>
      <c r="B39" t="s">
        <v>250</v>
      </c>
    </row>
    <row r="40" spans="1:2" x14ac:dyDescent="0.2">
      <c r="A40" t="s">
        <v>89</v>
      </c>
      <c r="B40" t="s">
        <v>90</v>
      </c>
    </row>
    <row r="41" spans="1:2" x14ac:dyDescent="0.2">
      <c r="A41" t="s">
        <v>181</v>
      </c>
      <c r="B41" t="s">
        <v>182</v>
      </c>
    </row>
    <row r="42" spans="1:2" x14ac:dyDescent="0.2">
      <c r="A42" t="s">
        <v>194</v>
      </c>
      <c r="B42" t="s">
        <v>251</v>
      </c>
    </row>
    <row r="43" spans="1:2" x14ac:dyDescent="0.2">
      <c r="A43" t="s">
        <v>95</v>
      </c>
      <c r="B43" t="s">
        <v>63</v>
      </c>
    </row>
    <row r="44" spans="1:2" x14ac:dyDescent="0.2">
      <c r="A44" t="s">
        <v>96</v>
      </c>
      <c r="B44" t="s">
        <v>97</v>
      </c>
    </row>
    <row r="45" spans="1:2" x14ac:dyDescent="0.2">
      <c r="A45" t="s">
        <v>98</v>
      </c>
      <c r="B45" t="s">
        <v>99</v>
      </c>
    </row>
    <row r="46" spans="1:2" x14ac:dyDescent="0.2">
      <c r="A46" t="s">
        <v>75</v>
      </c>
      <c r="B46" t="s">
        <v>252</v>
      </c>
    </row>
    <row r="47" spans="1:2" x14ac:dyDescent="0.2">
      <c r="A47" t="s">
        <v>66</v>
      </c>
      <c r="B47" t="s">
        <v>137</v>
      </c>
    </row>
    <row r="48" spans="1:2" x14ac:dyDescent="0.2">
      <c r="A48" t="s">
        <v>104</v>
      </c>
      <c r="B48" t="s">
        <v>148</v>
      </c>
    </row>
    <row r="49" spans="1:2" x14ac:dyDescent="0.2">
      <c r="A49" t="s">
        <v>71</v>
      </c>
      <c r="B49" t="s">
        <v>147</v>
      </c>
    </row>
    <row r="50" spans="1:2" x14ac:dyDescent="0.2">
      <c r="A50" t="s">
        <v>118</v>
      </c>
      <c r="B50" t="s">
        <v>253</v>
      </c>
    </row>
    <row r="51" spans="1:2" x14ac:dyDescent="0.2">
      <c r="A51" t="s">
        <v>122</v>
      </c>
      <c r="B51" t="s">
        <v>254</v>
      </c>
    </row>
    <row r="52" spans="1:2" x14ac:dyDescent="0.2">
      <c r="A52" t="s">
        <v>196</v>
      </c>
      <c r="B52" t="s">
        <v>222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54</v>
      </c>
      <c r="B54" t="s">
        <v>255</v>
      </c>
    </row>
    <row r="55" spans="1:2" x14ac:dyDescent="0.2">
      <c r="A55" t="s">
        <v>120</v>
      </c>
      <c r="B55" t="s">
        <v>256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199</v>
      </c>
      <c r="B57" t="s">
        <v>257</v>
      </c>
    </row>
    <row r="58" spans="1:2" x14ac:dyDescent="0.2">
      <c r="A58" t="s">
        <v>108</v>
      </c>
      <c r="B58" t="s">
        <v>105</v>
      </c>
    </row>
    <row r="59" spans="1:2" x14ac:dyDescent="0.2">
      <c r="A59" t="s">
        <v>233</v>
      </c>
      <c r="B59" t="s">
        <v>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A16F-D820-0F4C-9AE2-D4BBC73D30CF}">
  <dimension ref="A1:I59"/>
  <sheetViews>
    <sheetView workbookViewId="0">
      <selection sqref="A1:I1048576"/>
    </sheetView>
  </sheetViews>
  <sheetFormatPr baseColWidth="10" defaultRowHeight="16" x14ac:dyDescent="0.2"/>
  <sheetData>
    <row r="1" spans="1:9" x14ac:dyDescent="0.2">
      <c r="B1" t="s">
        <v>109</v>
      </c>
      <c r="C1" t="s">
        <v>110</v>
      </c>
      <c r="D1" t="s">
        <v>111</v>
      </c>
      <c r="E1" t="s">
        <v>112</v>
      </c>
      <c r="F1" t="e">
        <f>-LOG10(p)</f>
        <v>#NAME?</v>
      </c>
      <c r="G1" t="s">
        <v>113</v>
      </c>
      <c r="H1" t="s">
        <v>114</v>
      </c>
      <c r="I1" t="s">
        <v>115</v>
      </c>
    </row>
    <row r="2" spans="1:9" x14ac:dyDescent="0.2">
      <c r="A2" t="s">
        <v>16</v>
      </c>
      <c r="B2">
        <v>56</v>
      </c>
      <c r="C2">
        <v>2.1132</v>
      </c>
      <c r="D2">
        <v>8</v>
      </c>
      <c r="E2">
        <v>9.6022000000000002E-4</v>
      </c>
      <c r="F2">
        <v>3.0175999999999998</v>
      </c>
      <c r="G2">
        <v>7.7778E-2</v>
      </c>
      <c r="H2">
        <v>7.6107999999999995E-2</v>
      </c>
      <c r="I2">
        <v>0.56364000000000003</v>
      </c>
    </row>
    <row r="3" spans="1:9" x14ac:dyDescent="0.2">
      <c r="A3" t="s">
        <v>40</v>
      </c>
      <c r="B3">
        <v>15</v>
      </c>
      <c r="C3">
        <v>0.56603999999999999</v>
      </c>
      <c r="D3">
        <v>4</v>
      </c>
      <c r="E3">
        <v>1.8791999999999999E-3</v>
      </c>
      <c r="F3">
        <v>2.726</v>
      </c>
      <c r="G3">
        <v>0.15034</v>
      </c>
      <c r="H3">
        <v>7.6107999999999995E-2</v>
      </c>
      <c r="I3">
        <v>0.92857000000000001</v>
      </c>
    </row>
    <row r="4" spans="1:9" x14ac:dyDescent="0.2">
      <c r="A4" t="s">
        <v>22</v>
      </c>
      <c r="B4">
        <v>42</v>
      </c>
      <c r="C4">
        <v>1.5849</v>
      </c>
      <c r="D4">
        <v>6</v>
      </c>
      <c r="E4">
        <v>4.2719000000000003E-3</v>
      </c>
      <c r="F4">
        <v>2.3694000000000002</v>
      </c>
      <c r="G4">
        <v>0.33748</v>
      </c>
      <c r="H4">
        <v>8.9270000000000002E-2</v>
      </c>
      <c r="I4">
        <v>0.73170999999999997</v>
      </c>
    </row>
    <row r="5" spans="1:9" x14ac:dyDescent="0.2">
      <c r="A5" t="s">
        <v>14</v>
      </c>
      <c r="B5">
        <v>56</v>
      </c>
      <c r="C5">
        <v>2.1132</v>
      </c>
      <c r="D5">
        <v>7</v>
      </c>
      <c r="E5">
        <v>4.4083999999999998E-3</v>
      </c>
      <c r="F5">
        <v>2.3557000000000001</v>
      </c>
      <c r="G5">
        <v>0.34386</v>
      </c>
      <c r="H5">
        <v>8.9270000000000002E-2</v>
      </c>
      <c r="I5">
        <v>0.27272999999999997</v>
      </c>
    </row>
    <row r="6" spans="1:9" x14ac:dyDescent="0.2">
      <c r="A6" t="s">
        <v>18</v>
      </c>
      <c r="B6">
        <v>12</v>
      </c>
      <c r="C6">
        <v>0.45283000000000001</v>
      </c>
      <c r="D6">
        <v>3</v>
      </c>
      <c r="E6">
        <v>8.9228999999999992E-3</v>
      </c>
      <c r="F6">
        <v>2.0495000000000001</v>
      </c>
      <c r="G6">
        <v>0.68706</v>
      </c>
      <c r="H6">
        <v>0.10481</v>
      </c>
      <c r="I6">
        <v>0.27272999999999997</v>
      </c>
    </row>
    <row r="7" spans="1:9" x14ac:dyDescent="0.2">
      <c r="A7" t="s">
        <v>26</v>
      </c>
      <c r="B7">
        <v>35</v>
      </c>
      <c r="C7">
        <v>1.3208</v>
      </c>
      <c r="D7">
        <v>5</v>
      </c>
      <c r="E7">
        <v>9.0574000000000002E-3</v>
      </c>
      <c r="F7">
        <v>2.0430000000000001</v>
      </c>
      <c r="G7">
        <v>0.68835999999999997</v>
      </c>
      <c r="H7">
        <v>0.10481</v>
      </c>
      <c r="I7">
        <v>0.32352999999999998</v>
      </c>
    </row>
    <row r="8" spans="1:9" x14ac:dyDescent="0.2">
      <c r="A8" t="s">
        <v>42</v>
      </c>
      <c r="B8">
        <v>35</v>
      </c>
      <c r="C8">
        <v>1.3208</v>
      </c>
      <c r="D8">
        <v>5</v>
      </c>
      <c r="E8">
        <v>9.0574000000000002E-3</v>
      </c>
      <c r="F8">
        <v>2.0430000000000001</v>
      </c>
      <c r="G8">
        <v>0.68835999999999997</v>
      </c>
      <c r="H8">
        <v>0.10481</v>
      </c>
      <c r="I8">
        <v>0.41176000000000001</v>
      </c>
    </row>
    <row r="9" spans="1:9" x14ac:dyDescent="0.2">
      <c r="A9" t="s">
        <v>24</v>
      </c>
      <c r="B9">
        <v>28</v>
      </c>
      <c r="C9">
        <v>1.0566</v>
      </c>
      <c r="D9">
        <v>4</v>
      </c>
      <c r="E9">
        <v>1.9384999999999999E-2</v>
      </c>
      <c r="F9">
        <v>1.7124999999999999</v>
      </c>
      <c r="G9">
        <v>1</v>
      </c>
      <c r="H9">
        <v>0.19494</v>
      </c>
      <c r="I9">
        <v>0.33333000000000002</v>
      </c>
    </row>
    <row r="10" spans="1:9" x14ac:dyDescent="0.2">
      <c r="A10" t="s">
        <v>34</v>
      </c>
      <c r="B10">
        <v>29</v>
      </c>
      <c r="C10">
        <v>1.0943000000000001</v>
      </c>
      <c r="D10">
        <v>4</v>
      </c>
      <c r="E10">
        <v>2.1853000000000001E-2</v>
      </c>
      <c r="F10">
        <v>1.6605000000000001</v>
      </c>
      <c r="G10">
        <v>1</v>
      </c>
      <c r="H10">
        <v>0.19494</v>
      </c>
      <c r="I10">
        <v>0.17857000000000001</v>
      </c>
    </row>
    <row r="11" spans="1:9" x14ac:dyDescent="0.2">
      <c r="A11" t="s">
        <v>44</v>
      </c>
      <c r="B11">
        <v>17</v>
      </c>
      <c r="C11">
        <v>0.64151000000000002</v>
      </c>
      <c r="D11">
        <v>3</v>
      </c>
      <c r="E11">
        <v>2.4066000000000001E-2</v>
      </c>
      <c r="F11">
        <v>1.6186</v>
      </c>
      <c r="G11">
        <v>1</v>
      </c>
      <c r="H11">
        <v>0.19494</v>
      </c>
      <c r="I11">
        <v>0.5</v>
      </c>
    </row>
    <row r="12" spans="1:9" x14ac:dyDescent="0.2">
      <c r="A12" t="s">
        <v>73</v>
      </c>
      <c r="B12">
        <v>70</v>
      </c>
      <c r="C12">
        <v>2.6415000000000002</v>
      </c>
      <c r="D12">
        <v>6</v>
      </c>
      <c r="E12">
        <v>4.6027999999999999E-2</v>
      </c>
      <c r="F12">
        <v>1.337</v>
      </c>
      <c r="G12">
        <v>1</v>
      </c>
      <c r="H12">
        <v>0.33893000000000001</v>
      </c>
      <c r="I12">
        <v>0.26086999999999999</v>
      </c>
    </row>
    <row r="13" spans="1:9" x14ac:dyDescent="0.2">
      <c r="A13" t="s">
        <v>30</v>
      </c>
      <c r="B13">
        <v>10</v>
      </c>
      <c r="C13">
        <v>0.37735999999999997</v>
      </c>
      <c r="D13">
        <v>2</v>
      </c>
      <c r="E13">
        <v>5.2031000000000001E-2</v>
      </c>
      <c r="F13">
        <v>1.2837000000000001</v>
      </c>
      <c r="G13">
        <v>1</v>
      </c>
      <c r="H13">
        <v>0.35121000000000002</v>
      </c>
      <c r="I13">
        <v>0.33333000000000002</v>
      </c>
    </row>
    <row r="14" spans="1:9" x14ac:dyDescent="0.2">
      <c r="A14" t="s">
        <v>56</v>
      </c>
      <c r="B14">
        <v>59</v>
      </c>
      <c r="C14">
        <v>2.2263999999999999</v>
      </c>
      <c r="D14">
        <v>5</v>
      </c>
      <c r="E14">
        <v>6.9091E-2</v>
      </c>
      <c r="F14">
        <v>1.1606000000000001</v>
      </c>
      <c r="G14">
        <v>1</v>
      </c>
      <c r="H14">
        <v>0.43048999999999998</v>
      </c>
      <c r="I14">
        <v>0.58621000000000001</v>
      </c>
    </row>
    <row r="15" spans="1:9" x14ac:dyDescent="0.2">
      <c r="A15" t="s">
        <v>32</v>
      </c>
      <c r="B15">
        <v>46</v>
      </c>
      <c r="C15">
        <v>1.7358</v>
      </c>
      <c r="D15">
        <v>4</v>
      </c>
      <c r="E15">
        <v>9.2869999999999994E-2</v>
      </c>
      <c r="F15">
        <v>1.0321</v>
      </c>
      <c r="G15">
        <v>1</v>
      </c>
      <c r="H15">
        <v>0.53732000000000002</v>
      </c>
      <c r="I15">
        <v>8.8888999999999996E-2</v>
      </c>
    </row>
    <row r="16" spans="1:9" x14ac:dyDescent="0.2">
      <c r="A16" t="s">
        <v>50</v>
      </c>
      <c r="B16">
        <v>48</v>
      </c>
      <c r="C16">
        <v>1.8112999999999999</v>
      </c>
      <c r="D16">
        <v>4</v>
      </c>
      <c r="E16">
        <v>0.10473</v>
      </c>
      <c r="F16">
        <v>0.97994000000000003</v>
      </c>
      <c r="G16">
        <v>1</v>
      </c>
      <c r="H16">
        <v>0.55354999999999999</v>
      </c>
      <c r="I16">
        <v>0.48936000000000002</v>
      </c>
    </row>
    <row r="17" spans="1:9" x14ac:dyDescent="0.2">
      <c r="A17" t="s">
        <v>38</v>
      </c>
      <c r="B17">
        <v>31</v>
      </c>
      <c r="C17">
        <v>1.1698</v>
      </c>
      <c r="D17">
        <v>3</v>
      </c>
      <c r="E17">
        <v>0.10934000000000001</v>
      </c>
      <c r="F17">
        <v>0.96121000000000001</v>
      </c>
      <c r="G17">
        <v>1</v>
      </c>
      <c r="H17">
        <v>0.55354999999999999</v>
      </c>
      <c r="I17">
        <v>0.16667000000000001</v>
      </c>
    </row>
    <row r="18" spans="1:9" x14ac:dyDescent="0.2">
      <c r="A18" t="s">
        <v>36</v>
      </c>
      <c r="B18">
        <v>92</v>
      </c>
      <c r="C18">
        <v>3.4716999999999998</v>
      </c>
      <c r="D18">
        <v>6</v>
      </c>
      <c r="E18">
        <v>0.13064999999999999</v>
      </c>
      <c r="F18">
        <v>0.88390000000000002</v>
      </c>
      <c r="G18">
        <v>1</v>
      </c>
      <c r="H18">
        <v>0.62250000000000005</v>
      </c>
      <c r="I18">
        <v>0.25274999999999997</v>
      </c>
    </row>
    <row r="19" spans="1:9" x14ac:dyDescent="0.2">
      <c r="A19" t="s">
        <v>20</v>
      </c>
      <c r="B19">
        <v>4</v>
      </c>
      <c r="C19">
        <v>0.15093999999999999</v>
      </c>
      <c r="D19">
        <v>1</v>
      </c>
      <c r="E19">
        <v>0.14269999999999999</v>
      </c>
      <c r="F19">
        <v>0.84558</v>
      </c>
      <c r="G19">
        <v>1</v>
      </c>
      <c r="H19">
        <v>0.64215</v>
      </c>
      <c r="I19">
        <v>0.66666999999999998</v>
      </c>
    </row>
    <row r="20" spans="1:9" x14ac:dyDescent="0.2">
      <c r="A20" t="s">
        <v>46</v>
      </c>
      <c r="B20">
        <v>21</v>
      </c>
      <c r="C20">
        <v>0.79244999999999999</v>
      </c>
      <c r="D20">
        <v>2</v>
      </c>
      <c r="E20">
        <v>0.18659000000000001</v>
      </c>
      <c r="F20">
        <v>0.72911999999999999</v>
      </c>
      <c r="G20">
        <v>1</v>
      </c>
      <c r="H20">
        <v>0.79544999999999999</v>
      </c>
      <c r="I20">
        <v>0.15</v>
      </c>
    </row>
    <row r="21" spans="1:9" x14ac:dyDescent="0.2">
      <c r="A21" t="s">
        <v>81</v>
      </c>
      <c r="B21">
        <v>107</v>
      </c>
      <c r="C21">
        <v>4.0377000000000001</v>
      </c>
      <c r="D21">
        <v>6</v>
      </c>
      <c r="E21">
        <v>0.21401999999999999</v>
      </c>
      <c r="F21">
        <v>0.66954999999999998</v>
      </c>
      <c r="G21">
        <v>1</v>
      </c>
      <c r="H21">
        <v>0.86677000000000004</v>
      </c>
      <c r="I21">
        <v>0.36792000000000002</v>
      </c>
    </row>
    <row r="22" spans="1:9" x14ac:dyDescent="0.2">
      <c r="A22" t="s">
        <v>64</v>
      </c>
      <c r="B22">
        <v>88</v>
      </c>
      <c r="C22">
        <v>3.3208000000000002</v>
      </c>
      <c r="D22">
        <v>5</v>
      </c>
      <c r="E22">
        <v>0.23616000000000001</v>
      </c>
      <c r="F22">
        <v>0.62680000000000002</v>
      </c>
      <c r="G22">
        <v>1</v>
      </c>
      <c r="H22">
        <v>0.91088999999999998</v>
      </c>
      <c r="I22">
        <v>0.32184000000000001</v>
      </c>
    </row>
    <row r="23" spans="1:9" x14ac:dyDescent="0.2">
      <c r="A23" t="s">
        <v>83</v>
      </c>
      <c r="B23">
        <v>48</v>
      </c>
      <c r="C23">
        <v>1.8112999999999999</v>
      </c>
      <c r="D23">
        <v>3</v>
      </c>
      <c r="E23">
        <v>0.27073999999999998</v>
      </c>
      <c r="F23">
        <v>0.56745000000000001</v>
      </c>
      <c r="G23">
        <v>1</v>
      </c>
      <c r="H23">
        <v>0.99680999999999997</v>
      </c>
      <c r="I23">
        <v>0.12766</v>
      </c>
    </row>
    <row r="24" spans="1:9" x14ac:dyDescent="0.2">
      <c r="A24" t="s">
        <v>48</v>
      </c>
      <c r="B24">
        <v>72</v>
      </c>
      <c r="C24">
        <v>2.7170000000000001</v>
      </c>
      <c r="D24">
        <v>4</v>
      </c>
      <c r="E24">
        <v>0.28725000000000001</v>
      </c>
      <c r="F24">
        <v>0.54173000000000004</v>
      </c>
      <c r="G24">
        <v>1</v>
      </c>
      <c r="H24">
        <v>1</v>
      </c>
      <c r="I24">
        <v>0.19717999999999999</v>
      </c>
    </row>
    <row r="25" spans="1:9" x14ac:dyDescent="0.2">
      <c r="A25" t="s">
        <v>28</v>
      </c>
      <c r="B25">
        <v>74</v>
      </c>
      <c r="C25">
        <v>2.7925</v>
      </c>
      <c r="D25">
        <v>4</v>
      </c>
      <c r="E25">
        <v>0.30453999999999998</v>
      </c>
      <c r="F25">
        <v>0.51636000000000004</v>
      </c>
      <c r="G25">
        <v>1</v>
      </c>
      <c r="H25">
        <v>1</v>
      </c>
      <c r="I25">
        <v>6.8492999999999998E-2</v>
      </c>
    </row>
    <row r="26" spans="1:9" x14ac:dyDescent="0.2">
      <c r="A26" t="s">
        <v>62</v>
      </c>
      <c r="B26">
        <v>11</v>
      </c>
      <c r="C26">
        <v>0.41509000000000001</v>
      </c>
      <c r="D26">
        <v>1</v>
      </c>
      <c r="E26">
        <v>0.34560999999999997</v>
      </c>
      <c r="F26">
        <v>0.46140999999999999</v>
      </c>
      <c r="G26">
        <v>1</v>
      </c>
      <c r="H26">
        <v>1</v>
      </c>
      <c r="I26">
        <v>0.5</v>
      </c>
    </row>
    <row r="27" spans="1:9" x14ac:dyDescent="0.2">
      <c r="A27" t="s">
        <v>85</v>
      </c>
      <c r="B27">
        <v>81</v>
      </c>
      <c r="C27">
        <v>3.0566</v>
      </c>
      <c r="D27">
        <v>4</v>
      </c>
      <c r="E27">
        <v>0.36571999999999999</v>
      </c>
      <c r="F27">
        <v>0.43685000000000002</v>
      </c>
      <c r="G27">
        <v>1</v>
      </c>
      <c r="H27">
        <v>1</v>
      </c>
      <c r="I27">
        <v>0.17499999999999999</v>
      </c>
    </row>
    <row r="28" spans="1:9" x14ac:dyDescent="0.2">
      <c r="A28" t="s">
        <v>58</v>
      </c>
      <c r="B28">
        <v>34</v>
      </c>
      <c r="C28">
        <v>1.2829999999999999</v>
      </c>
      <c r="D28">
        <v>2</v>
      </c>
      <c r="E28">
        <v>0.36971999999999999</v>
      </c>
      <c r="F28">
        <v>0.43213000000000001</v>
      </c>
      <c r="G28">
        <v>1</v>
      </c>
      <c r="H28">
        <v>1</v>
      </c>
      <c r="I28">
        <v>0.15151999999999999</v>
      </c>
    </row>
    <row r="29" spans="1:9" x14ac:dyDescent="0.2">
      <c r="A29" t="s">
        <v>67</v>
      </c>
      <c r="B29">
        <v>40</v>
      </c>
      <c r="C29">
        <v>1.5094000000000001</v>
      </c>
      <c r="D29">
        <v>2</v>
      </c>
      <c r="E29">
        <v>0.44997999999999999</v>
      </c>
      <c r="F29">
        <v>0.3468</v>
      </c>
      <c r="G29">
        <v>1</v>
      </c>
      <c r="H29">
        <v>1</v>
      </c>
      <c r="I29">
        <v>5.1282000000000001E-2</v>
      </c>
    </row>
    <row r="30" spans="1:9" x14ac:dyDescent="0.2">
      <c r="A30" t="s">
        <v>69</v>
      </c>
      <c r="B30">
        <v>40</v>
      </c>
      <c r="C30">
        <v>1.5094000000000001</v>
      </c>
      <c r="D30">
        <v>2</v>
      </c>
      <c r="E30">
        <v>0.44997999999999999</v>
      </c>
      <c r="F30">
        <v>0.3468</v>
      </c>
      <c r="G30">
        <v>1</v>
      </c>
      <c r="H30">
        <v>1</v>
      </c>
      <c r="I30">
        <v>0.23077</v>
      </c>
    </row>
    <row r="31" spans="1:9" x14ac:dyDescent="0.2">
      <c r="A31" t="s">
        <v>93</v>
      </c>
      <c r="B31">
        <v>174</v>
      </c>
      <c r="C31">
        <v>6.5659999999999998</v>
      </c>
      <c r="D31">
        <v>7</v>
      </c>
      <c r="E31">
        <v>0.48881999999999998</v>
      </c>
      <c r="F31">
        <v>0.31085000000000002</v>
      </c>
      <c r="G31">
        <v>1</v>
      </c>
      <c r="H31">
        <v>1</v>
      </c>
      <c r="I31">
        <v>0.27745999999999998</v>
      </c>
    </row>
    <row r="32" spans="1:9" x14ac:dyDescent="0.2">
      <c r="A32" t="s">
        <v>79</v>
      </c>
      <c r="B32">
        <v>18</v>
      </c>
      <c r="C32">
        <v>0.67925000000000002</v>
      </c>
      <c r="D32">
        <v>1</v>
      </c>
      <c r="E32">
        <v>0.50092000000000003</v>
      </c>
      <c r="F32">
        <v>0.30024000000000001</v>
      </c>
      <c r="G32">
        <v>1</v>
      </c>
      <c r="H32">
        <v>1</v>
      </c>
      <c r="I32">
        <v>0.11765</v>
      </c>
    </row>
    <row r="33" spans="1:9" x14ac:dyDescent="0.2">
      <c r="A33" t="s">
        <v>195</v>
      </c>
      <c r="B33">
        <v>19</v>
      </c>
      <c r="C33">
        <v>0.71697999999999995</v>
      </c>
      <c r="D33">
        <v>1</v>
      </c>
      <c r="E33">
        <v>0.51990000000000003</v>
      </c>
      <c r="F33">
        <v>0.28408</v>
      </c>
      <c r="G33">
        <v>1</v>
      </c>
      <c r="H33">
        <v>1</v>
      </c>
      <c r="I33">
        <v>0.11111</v>
      </c>
    </row>
    <row r="34" spans="1:9" x14ac:dyDescent="0.2">
      <c r="A34" t="s">
        <v>77</v>
      </c>
      <c r="B34">
        <v>46</v>
      </c>
      <c r="C34">
        <v>1.7358</v>
      </c>
      <c r="D34">
        <v>2</v>
      </c>
      <c r="E34">
        <v>0.52431000000000005</v>
      </c>
      <c r="F34">
        <v>0.28040999999999999</v>
      </c>
      <c r="G34">
        <v>1</v>
      </c>
      <c r="H34">
        <v>1</v>
      </c>
      <c r="I34">
        <v>0.15556</v>
      </c>
    </row>
    <row r="35" spans="1:9" x14ac:dyDescent="0.2">
      <c r="A35" t="s">
        <v>102</v>
      </c>
      <c r="B35">
        <v>49</v>
      </c>
      <c r="C35">
        <v>1.8491</v>
      </c>
      <c r="D35">
        <v>2</v>
      </c>
      <c r="E35">
        <v>0.55891000000000002</v>
      </c>
      <c r="F35">
        <v>0.25266</v>
      </c>
      <c r="G35">
        <v>1</v>
      </c>
      <c r="H35">
        <v>1</v>
      </c>
      <c r="I35">
        <v>0.16667000000000001</v>
      </c>
    </row>
    <row r="36" spans="1:9" x14ac:dyDescent="0.2">
      <c r="A36" t="s">
        <v>52</v>
      </c>
      <c r="B36">
        <v>50</v>
      </c>
      <c r="C36">
        <v>1.8868</v>
      </c>
      <c r="D36">
        <v>2</v>
      </c>
      <c r="E36">
        <v>0.57004999999999995</v>
      </c>
      <c r="F36">
        <v>0.24409</v>
      </c>
      <c r="G36">
        <v>1</v>
      </c>
      <c r="H36">
        <v>1</v>
      </c>
      <c r="I36">
        <v>8.1632999999999997E-2</v>
      </c>
    </row>
    <row r="37" spans="1:9" x14ac:dyDescent="0.2">
      <c r="A37" t="s">
        <v>87</v>
      </c>
      <c r="B37">
        <v>54</v>
      </c>
      <c r="C37">
        <v>2.0377000000000001</v>
      </c>
      <c r="D37">
        <v>2</v>
      </c>
      <c r="E37">
        <v>0.61258000000000001</v>
      </c>
      <c r="F37">
        <v>0.21284</v>
      </c>
      <c r="G37">
        <v>1</v>
      </c>
      <c r="H37">
        <v>1</v>
      </c>
      <c r="I37">
        <v>5.6604000000000002E-2</v>
      </c>
    </row>
    <row r="38" spans="1:9" x14ac:dyDescent="0.2">
      <c r="A38" t="s">
        <v>192</v>
      </c>
      <c r="B38">
        <v>25</v>
      </c>
      <c r="C38">
        <v>0.94340000000000002</v>
      </c>
      <c r="D38">
        <v>1</v>
      </c>
      <c r="E38">
        <v>0.61968000000000001</v>
      </c>
      <c r="F38">
        <v>0.20782999999999999</v>
      </c>
      <c r="G38">
        <v>1</v>
      </c>
      <c r="H38">
        <v>1</v>
      </c>
      <c r="I38">
        <v>8.3333000000000004E-2</v>
      </c>
    </row>
    <row r="39" spans="1:9" x14ac:dyDescent="0.2">
      <c r="A39" t="s">
        <v>60</v>
      </c>
      <c r="B39">
        <v>60</v>
      </c>
      <c r="C39">
        <v>2.2642000000000002</v>
      </c>
      <c r="D39">
        <v>2</v>
      </c>
      <c r="E39">
        <v>0.67032999999999998</v>
      </c>
      <c r="F39">
        <v>0.17371</v>
      </c>
      <c r="G39">
        <v>1</v>
      </c>
      <c r="H39">
        <v>1</v>
      </c>
      <c r="I39">
        <v>0.20338999999999999</v>
      </c>
    </row>
    <row r="40" spans="1:9" x14ac:dyDescent="0.2">
      <c r="A40" t="s">
        <v>89</v>
      </c>
      <c r="B40">
        <v>121</v>
      </c>
      <c r="C40">
        <v>4.5659999999999998</v>
      </c>
      <c r="D40">
        <v>4</v>
      </c>
      <c r="E40">
        <v>0.68052000000000001</v>
      </c>
      <c r="F40">
        <v>0.16716</v>
      </c>
      <c r="G40">
        <v>1</v>
      </c>
      <c r="H40">
        <v>1</v>
      </c>
      <c r="I40">
        <v>0.05</v>
      </c>
    </row>
    <row r="41" spans="1:9" x14ac:dyDescent="0.2">
      <c r="A41" t="s">
        <v>181</v>
      </c>
      <c r="B41">
        <v>30</v>
      </c>
      <c r="C41">
        <v>1.1321000000000001</v>
      </c>
      <c r="D41">
        <v>1</v>
      </c>
      <c r="E41">
        <v>0.68694</v>
      </c>
      <c r="F41">
        <v>0.16308</v>
      </c>
      <c r="G41">
        <v>1</v>
      </c>
      <c r="H41">
        <v>1</v>
      </c>
      <c r="I41">
        <v>0.10345</v>
      </c>
    </row>
    <row r="42" spans="1:9" x14ac:dyDescent="0.2">
      <c r="A42" t="s">
        <v>194</v>
      </c>
      <c r="B42">
        <v>63</v>
      </c>
      <c r="C42">
        <v>2.3774000000000002</v>
      </c>
      <c r="D42">
        <v>2</v>
      </c>
      <c r="E42">
        <v>0.69652999999999998</v>
      </c>
      <c r="F42">
        <v>0.15706000000000001</v>
      </c>
      <c r="G42">
        <v>1</v>
      </c>
      <c r="H42">
        <v>1</v>
      </c>
      <c r="I42">
        <v>3.2258000000000002E-2</v>
      </c>
    </row>
    <row r="43" spans="1:9" x14ac:dyDescent="0.2">
      <c r="A43" t="s">
        <v>95</v>
      </c>
      <c r="B43">
        <v>34</v>
      </c>
      <c r="C43">
        <v>1.2829999999999999</v>
      </c>
      <c r="D43">
        <v>1</v>
      </c>
      <c r="E43">
        <v>0.73216000000000003</v>
      </c>
      <c r="F43">
        <v>0.13539000000000001</v>
      </c>
      <c r="G43">
        <v>1</v>
      </c>
      <c r="H43">
        <v>1</v>
      </c>
      <c r="I43">
        <v>6.0606E-2</v>
      </c>
    </row>
    <row r="44" spans="1:9" x14ac:dyDescent="0.2">
      <c r="A44" t="s">
        <v>96</v>
      </c>
      <c r="B44">
        <v>36</v>
      </c>
      <c r="C44">
        <v>1.3585</v>
      </c>
      <c r="D44">
        <v>1</v>
      </c>
      <c r="E44">
        <v>0.75229000000000001</v>
      </c>
      <c r="F44">
        <v>0.12361999999999999</v>
      </c>
      <c r="G44">
        <v>1</v>
      </c>
      <c r="H44">
        <v>1</v>
      </c>
      <c r="I44">
        <v>5.7142999999999999E-2</v>
      </c>
    </row>
    <row r="45" spans="1:9" x14ac:dyDescent="0.2">
      <c r="A45" t="s">
        <v>98</v>
      </c>
      <c r="B45">
        <v>36</v>
      </c>
      <c r="C45">
        <v>1.3585</v>
      </c>
      <c r="D45">
        <v>1</v>
      </c>
      <c r="E45">
        <v>0.75229000000000001</v>
      </c>
      <c r="F45">
        <v>0.12361999999999999</v>
      </c>
      <c r="G45">
        <v>1</v>
      </c>
      <c r="H45">
        <v>1</v>
      </c>
      <c r="I45">
        <v>8.5713999999999999E-2</v>
      </c>
    </row>
    <row r="46" spans="1:9" x14ac:dyDescent="0.2">
      <c r="A46" t="s">
        <v>75</v>
      </c>
      <c r="B46">
        <v>72</v>
      </c>
      <c r="C46">
        <v>2.7170000000000001</v>
      </c>
      <c r="D46">
        <v>2</v>
      </c>
      <c r="E46">
        <v>0.76507000000000003</v>
      </c>
      <c r="F46">
        <v>0.1163</v>
      </c>
      <c r="G46">
        <v>1</v>
      </c>
      <c r="H46">
        <v>1</v>
      </c>
      <c r="I46">
        <v>5.6337999999999999E-2</v>
      </c>
    </row>
    <row r="47" spans="1:9" x14ac:dyDescent="0.2">
      <c r="A47" t="s">
        <v>66</v>
      </c>
      <c r="B47">
        <v>39</v>
      </c>
      <c r="C47">
        <v>1.4717</v>
      </c>
      <c r="D47">
        <v>1</v>
      </c>
      <c r="E47">
        <v>0.77969999999999995</v>
      </c>
      <c r="F47">
        <v>0.10807</v>
      </c>
      <c r="G47">
        <v>1</v>
      </c>
      <c r="H47">
        <v>1</v>
      </c>
      <c r="I47">
        <v>0.28947000000000001</v>
      </c>
    </row>
    <row r="48" spans="1:9" x14ac:dyDescent="0.2">
      <c r="A48" t="s">
        <v>104</v>
      </c>
      <c r="B48">
        <v>75</v>
      </c>
      <c r="C48">
        <v>2.8302</v>
      </c>
      <c r="D48">
        <v>2</v>
      </c>
      <c r="E48">
        <v>0.78476999999999997</v>
      </c>
      <c r="F48">
        <v>0.10526000000000001</v>
      </c>
      <c r="G48">
        <v>1</v>
      </c>
      <c r="H48">
        <v>1</v>
      </c>
      <c r="I48">
        <v>8.1081E-2</v>
      </c>
    </row>
    <row r="49" spans="1:9" x14ac:dyDescent="0.2">
      <c r="A49" t="s">
        <v>71</v>
      </c>
      <c r="B49">
        <v>40</v>
      </c>
      <c r="C49">
        <v>1.5094000000000001</v>
      </c>
      <c r="D49">
        <v>1</v>
      </c>
      <c r="E49">
        <v>0.78815999999999997</v>
      </c>
      <c r="F49">
        <v>0.10339</v>
      </c>
      <c r="G49">
        <v>1</v>
      </c>
      <c r="H49">
        <v>1</v>
      </c>
      <c r="I49">
        <v>2.5641000000000001E-2</v>
      </c>
    </row>
    <row r="50" spans="1:9" x14ac:dyDescent="0.2">
      <c r="A50" t="s">
        <v>118</v>
      </c>
      <c r="B50">
        <v>41</v>
      </c>
      <c r="C50">
        <v>1.5471999999999999</v>
      </c>
      <c r="D50">
        <v>1</v>
      </c>
      <c r="E50">
        <v>0.79629000000000005</v>
      </c>
      <c r="F50">
        <v>9.8927000000000001E-2</v>
      </c>
      <c r="G50">
        <v>1</v>
      </c>
      <c r="H50">
        <v>1</v>
      </c>
      <c r="I50">
        <v>0.2</v>
      </c>
    </row>
    <row r="51" spans="1:9" x14ac:dyDescent="0.2">
      <c r="A51" t="s">
        <v>122</v>
      </c>
      <c r="B51">
        <v>83</v>
      </c>
      <c r="C51">
        <v>3.1320999999999999</v>
      </c>
      <c r="D51">
        <v>2</v>
      </c>
      <c r="E51">
        <v>0.83045999999999998</v>
      </c>
      <c r="F51">
        <v>8.0681000000000003E-2</v>
      </c>
      <c r="G51">
        <v>1</v>
      </c>
      <c r="H51">
        <v>1</v>
      </c>
      <c r="I51">
        <v>7.3171E-2</v>
      </c>
    </row>
    <row r="52" spans="1:9" x14ac:dyDescent="0.2">
      <c r="A52" t="s">
        <v>196</v>
      </c>
      <c r="B52">
        <v>47</v>
      </c>
      <c r="C52">
        <v>1.7736000000000001</v>
      </c>
      <c r="D52">
        <v>1</v>
      </c>
      <c r="E52">
        <v>0.83899999999999997</v>
      </c>
      <c r="F52">
        <v>7.6239000000000001E-2</v>
      </c>
      <c r="G52">
        <v>1</v>
      </c>
      <c r="H52">
        <v>1</v>
      </c>
      <c r="I52">
        <v>0.13042999999999999</v>
      </c>
    </row>
    <row r="53" spans="1:9" x14ac:dyDescent="0.2">
      <c r="A53" t="s">
        <v>100</v>
      </c>
      <c r="B53">
        <v>87</v>
      </c>
      <c r="C53">
        <v>3.2829999999999999</v>
      </c>
      <c r="D53">
        <v>2</v>
      </c>
      <c r="E53">
        <v>0.84989999999999999</v>
      </c>
      <c r="F53">
        <v>7.0629999999999998E-2</v>
      </c>
      <c r="G53">
        <v>1</v>
      </c>
      <c r="H53">
        <v>1</v>
      </c>
      <c r="I53">
        <v>8.1394999999999995E-2</v>
      </c>
    </row>
    <row r="54" spans="1:9" x14ac:dyDescent="0.2">
      <c r="A54" t="s">
        <v>54</v>
      </c>
      <c r="B54">
        <v>55</v>
      </c>
      <c r="C54">
        <v>2.0754999999999999</v>
      </c>
      <c r="D54">
        <v>1</v>
      </c>
      <c r="E54">
        <v>0.88246999999999998</v>
      </c>
      <c r="F54">
        <v>5.4302000000000003E-2</v>
      </c>
      <c r="G54">
        <v>1</v>
      </c>
      <c r="H54">
        <v>1</v>
      </c>
      <c r="I54">
        <v>1.8519000000000001E-2</v>
      </c>
    </row>
    <row r="55" spans="1:9" x14ac:dyDescent="0.2">
      <c r="A55" t="s">
        <v>120</v>
      </c>
      <c r="B55">
        <v>68</v>
      </c>
      <c r="C55">
        <v>2.5659999999999998</v>
      </c>
      <c r="D55">
        <v>1</v>
      </c>
      <c r="E55">
        <v>0.92969000000000002</v>
      </c>
      <c r="F55">
        <v>3.1663999999999998E-2</v>
      </c>
      <c r="G55">
        <v>1</v>
      </c>
      <c r="H55">
        <v>1</v>
      </c>
      <c r="I55">
        <v>2.9850999999999999E-2</v>
      </c>
    </row>
    <row r="56" spans="1:9" x14ac:dyDescent="0.2">
      <c r="A56" t="s">
        <v>106</v>
      </c>
      <c r="B56">
        <v>78</v>
      </c>
      <c r="C56">
        <v>2.9434</v>
      </c>
      <c r="D56">
        <v>1</v>
      </c>
      <c r="E56">
        <v>0.95274000000000003</v>
      </c>
      <c r="F56">
        <v>2.1027000000000001E-2</v>
      </c>
      <c r="G56">
        <v>1</v>
      </c>
      <c r="H56">
        <v>1</v>
      </c>
      <c r="I56">
        <v>1.2987E-2</v>
      </c>
    </row>
    <row r="57" spans="1:9" x14ac:dyDescent="0.2">
      <c r="A57" t="s">
        <v>199</v>
      </c>
      <c r="B57">
        <v>81</v>
      </c>
      <c r="C57">
        <v>3.0566</v>
      </c>
      <c r="D57">
        <v>1</v>
      </c>
      <c r="E57">
        <v>0.95806000000000002</v>
      </c>
      <c r="F57">
        <v>1.8606000000000001E-2</v>
      </c>
      <c r="G57">
        <v>1</v>
      </c>
      <c r="H57">
        <v>1</v>
      </c>
      <c r="I57">
        <v>0.05</v>
      </c>
    </row>
    <row r="58" spans="1:9" x14ac:dyDescent="0.2">
      <c r="A58" t="s">
        <v>108</v>
      </c>
      <c r="B58">
        <v>102</v>
      </c>
      <c r="C58">
        <v>3.8491</v>
      </c>
      <c r="D58">
        <v>1</v>
      </c>
      <c r="E58">
        <v>0.98192000000000002</v>
      </c>
      <c r="F58">
        <v>7.9247999999999992E-3</v>
      </c>
      <c r="G58">
        <v>1</v>
      </c>
      <c r="H58">
        <v>1</v>
      </c>
      <c r="I58">
        <v>1.9802E-2</v>
      </c>
    </row>
    <row r="59" spans="1:9" x14ac:dyDescent="0.2">
      <c r="A59" t="s">
        <v>233</v>
      </c>
      <c r="B59">
        <v>147</v>
      </c>
      <c r="C59">
        <v>5.5472000000000001</v>
      </c>
      <c r="D59">
        <v>1</v>
      </c>
      <c r="E59">
        <v>0.99709999999999999</v>
      </c>
      <c r="F59">
        <v>1.2612000000000001E-3</v>
      </c>
      <c r="G59">
        <v>1</v>
      </c>
      <c r="H59">
        <v>1</v>
      </c>
      <c r="I59">
        <v>2.7397000000000001E-2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D99B-3A71-464A-921C-F175DEBD3F99}">
  <dimension ref="A1:B63"/>
  <sheetViews>
    <sheetView workbookViewId="0">
      <selection activeCell="J19" sqref="J19"/>
    </sheetView>
  </sheetViews>
  <sheetFormatPr baseColWidth="10" defaultRowHeight="16" x14ac:dyDescent="0.2"/>
  <sheetData>
    <row r="1" spans="1:2" x14ac:dyDescent="0.2">
      <c r="B1" t="s">
        <v>13</v>
      </c>
    </row>
    <row r="2" spans="1:2" x14ac:dyDescent="0.2">
      <c r="A2" t="s">
        <v>16</v>
      </c>
      <c r="B2" t="s">
        <v>200</v>
      </c>
    </row>
    <row r="3" spans="1:2" x14ac:dyDescent="0.2">
      <c r="A3" t="s">
        <v>14</v>
      </c>
      <c r="B3" t="s">
        <v>15</v>
      </c>
    </row>
    <row r="4" spans="1:2" x14ac:dyDescent="0.2">
      <c r="A4" t="s">
        <v>18</v>
      </c>
      <c r="B4" t="s">
        <v>19</v>
      </c>
    </row>
    <row r="5" spans="1:2" x14ac:dyDescent="0.2">
      <c r="A5" t="s">
        <v>24</v>
      </c>
      <c r="B5" t="s">
        <v>25</v>
      </c>
    </row>
    <row r="6" spans="1:2" x14ac:dyDescent="0.2">
      <c r="A6" t="s">
        <v>22</v>
      </c>
      <c r="B6" t="s">
        <v>23</v>
      </c>
    </row>
    <row r="7" spans="1:2" x14ac:dyDescent="0.2">
      <c r="A7" t="s">
        <v>36</v>
      </c>
      <c r="B7" t="s">
        <v>201</v>
      </c>
    </row>
    <row r="8" spans="1:2" x14ac:dyDescent="0.2">
      <c r="A8" t="s">
        <v>38</v>
      </c>
      <c r="B8" t="s">
        <v>202</v>
      </c>
    </row>
    <row r="9" spans="1:2" x14ac:dyDescent="0.2">
      <c r="A9" t="s">
        <v>58</v>
      </c>
      <c r="B9" t="s">
        <v>203</v>
      </c>
    </row>
    <row r="10" spans="1:2" x14ac:dyDescent="0.2">
      <c r="A10" t="s">
        <v>46</v>
      </c>
      <c r="B10" t="s">
        <v>204</v>
      </c>
    </row>
    <row r="11" spans="1:2" x14ac:dyDescent="0.2">
      <c r="A11" t="s">
        <v>26</v>
      </c>
      <c r="B11" t="s">
        <v>27</v>
      </c>
    </row>
    <row r="12" spans="1:2" x14ac:dyDescent="0.2">
      <c r="A12" t="s">
        <v>30</v>
      </c>
      <c r="B12" t="s">
        <v>31</v>
      </c>
    </row>
    <row r="13" spans="1:2" x14ac:dyDescent="0.2">
      <c r="A13" t="s">
        <v>48</v>
      </c>
      <c r="B13" t="s">
        <v>205</v>
      </c>
    </row>
    <row r="14" spans="1:2" x14ac:dyDescent="0.2">
      <c r="A14" t="s">
        <v>28</v>
      </c>
      <c r="B14" t="s">
        <v>206</v>
      </c>
    </row>
    <row r="15" spans="1:2" x14ac:dyDescent="0.2">
      <c r="A15" t="s">
        <v>34</v>
      </c>
      <c r="B15" t="s">
        <v>35</v>
      </c>
    </row>
    <row r="16" spans="1:2" x14ac:dyDescent="0.2">
      <c r="A16" t="s">
        <v>32</v>
      </c>
      <c r="B16" t="s">
        <v>33</v>
      </c>
    </row>
    <row r="17" spans="1:2" x14ac:dyDescent="0.2">
      <c r="A17" t="s">
        <v>40</v>
      </c>
      <c r="B17" t="s">
        <v>41</v>
      </c>
    </row>
    <row r="18" spans="1:2" x14ac:dyDescent="0.2">
      <c r="A18" t="s">
        <v>50</v>
      </c>
      <c r="B18" t="s">
        <v>207</v>
      </c>
    </row>
    <row r="19" spans="1:2" x14ac:dyDescent="0.2">
      <c r="A19" t="s">
        <v>20</v>
      </c>
      <c r="B19" t="s">
        <v>137</v>
      </c>
    </row>
    <row r="20" spans="1:2" x14ac:dyDescent="0.2">
      <c r="A20" t="s">
        <v>44</v>
      </c>
      <c r="B20" t="s">
        <v>45</v>
      </c>
    </row>
    <row r="21" spans="1:2" x14ac:dyDescent="0.2">
      <c r="A21" t="s">
        <v>42</v>
      </c>
      <c r="B21" t="s">
        <v>43</v>
      </c>
    </row>
    <row r="22" spans="1:2" x14ac:dyDescent="0.2">
      <c r="A22" t="s">
        <v>56</v>
      </c>
      <c r="B22" t="s">
        <v>208</v>
      </c>
    </row>
    <row r="23" spans="1:2" x14ac:dyDescent="0.2">
      <c r="A23" t="s">
        <v>71</v>
      </c>
      <c r="B23" t="s">
        <v>209</v>
      </c>
    </row>
    <row r="24" spans="1:2" x14ac:dyDescent="0.2">
      <c r="A24" t="s">
        <v>69</v>
      </c>
      <c r="B24" t="s">
        <v>210</v>
      </c>
    </row>
    <row r="25" spans="1:2" x14ac:dyDescent="0.2">
      <c r="A25" t="s">
        <v>192</v>
      </c>
      <c r="B25" t="s">
        <v>211</v>
      </c>
    </row>
    <row r="26" spans="1:2" x14ac:dyDescent="0.2">
      <c r="A26" t="s">
        <v>81</v>
      </c>
      <c r="B26" t="s">
        <v>212</v>
      </c>
    </row>
    <row r="27" spans="1:2" x14ac:dyDescent="0.2">
      <c r="A27" t="s">
        <v>77</v>
      </c>
      <c r="B27" t="s">
        <v>213</v>
      </c>
    </row>
    <row r="28" spans="1:2" x14ac:dyDescent="0.2">
      <c r="A28" t="s">
        <v>64</v>
      </c>
      <c r="B28" t="s">
        <v>214</v>
      </c>
    </row>
    <row r="29" spans="1:2" x14ac:dyDescent="0.2">
      <c r="A29" t="s">
        <v>83</v>
      </c>
      <c r="B29" t="s">
        <v>170</v>
      </c>
    </row>
    <row r="30" spans="1:2" x14ac:dyDescent="0.2">
      <c r="A30" t="s">
        <v>62</v>
      </c>
      <c r="B30" t="s">
        <v>63</v>
      </c>
    </row>
    <row r="31" spans="1:2" x14ac:dyDescent="0.2">
      <c r="A31" t="s">
        <v>193</v>
      </c>
      <c r="B31" t="s">
        <v>215</v>
      </c>
    </row>
    <row r="32" spans="1:2" x14ac:dyDescent="0.2">
      <c r="A32" t="s">
        <v>87</v>
      </c>
      <c r="B32" t="s">
        <v>216</v>
      </c>
    </row>
    <row r="33" spans="1:2" x14ac:dyDescent="0.2">
      <c r="A33" t="s">
        <v>54</v>
      </c>
      <c r="B33" t="s">
        <v>217</v>
      </c>
    </row>
    <row r="34" spans="1:2" x14ac:dyDescent="0.2">
      <c r="A34" t="s">
        <v>186</v>
      </c>
      <c r="B34" t="s">
        <v>218</v>
      </c>
    </row>
    <row r="35" spans="1:2" x14ac:dyDescent="0.2">
      <c r="A35" t="s">
        <v>85</v>
      </c>
      <c r="B35" t="s">
        <v>219</v>
      </c>
    </row>
    <row r="36" spans="1:2" x14ac:dyDescent="0.2">
      <c r="A36" t="s">
        <v>93</v>
      </c>
      <c r="B36" t="s">
        <v>220</v>
      </c>
    </row>
    <row r="37" spans="1:2" x14ac:dyDescent="0.2">
      <c r="A37" t="s">
        <v>194</v>
      </c>
      <c r="B37" t="s">
        <v>221</v>
      </c>
    </row>
    <row r="38" spans="1:2" x14ac:dyDescent="0.2">
      <c r="A38" t="s">
        <v>67</v>
      </c>
      <c r="B38" t="s">
        <v>68</v>
      </c>
    </row>
    <row r="39" spans="1:2" x14ac:dyDescent="0.2">
      <c r="A39" t="s">
        <v>79</v>
      </c>
      <c r="B39" t="s">
        <v>80</v>
      </c>
    </row>
    <row r="40" spans="1:2" x14ac:dyDescent="0.2">
      <c r="A40" t="s">
        <v>195</v>
      </c>
      <c r="B40" t="s">
        <v>222</v>
      </c>
    </row>
    <row r="41" spans="1:2" x14ac:dyDescent="0.2">
      <c r="A41" t="s">
        <v>73</v>
      </c>
      <c r="B41" t="s">
        <v>74</v>
      </c>
    </row>
    <row r="42" spans="1:2" x14ac:dyDescent="0.2">
      <c r="A42" t="s">
        <v>75</v>
      </c>
      <c r="B42" t="s">
        <v>76</v>
      </c>
    </row>
    <row r="43" spans="1:2" x14ac:dyDescent="0.2">
      <c r="A43" t="s">
        <v>52</v>
      </c>
      <c r="B43" t="s">
        <v>145</v>
      </c>
    </row>
    <row r="44" spans="1:2" x14ac:dyDescent="0.2">
      <c r="A44" t="s">
        <v>100</v>
      </c>
      <c r="B44" t="s">
        <v>223</v>
      </c>
    </row>
    <row r="45" spans="1:2" x14ac:dyDescent="0.2">
      <c r="A45" t="s">
        <v>60</v>
      </c>
      <c r="B45" t="s">
        <v>224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95</v>
      </c>
      <c r="B47" t="s">
        <v>63</v>
      </c>
    </row>
    <row r="48" spans="1:2" x14ac:dyDescent="0.2">
      <c r="A48" t="s">
        <v>96</v>
      </c>
      <c r="B48" t="s">
        <v>97</v>
      </c>
    </row>
    <row r="49" spans="1:2" x14ac:dyDescent="0.2">
      <c r="A49" t="s">
        <v>98</v>
      </c>
      <c r="B49" t="s">
        <v>99</v>
      </c>
    </row>
    <row r="50" spans="1:2" x14ac:dyDescent="0.2">
      <c r="A50" t="s">
        <v>66</v>
      </c>
      <c r="B50" t="s">
        <v>137</v>
      </c>
    </row>
    <row r="51" spans="1:2" x14ac:dyDescent="0.2">
      <c r="A51" t="s">
        <v>118</v>
      </c>
      <c r="B51" t="s">
        <v>225</v>
      </c>
    </row>
    <row r="52" spans="1:2" x14ac:dyDescent="0.2">
      <c r="A52" t="s">
        <v>106</v>
      </c>
      <c r="B52" t="s">
        <v>226</v>
      </c>
    </row>
    <row r="53" spans="1:2" x14ac:dyDescent="0.2">
      <c r="A53" t="s">
        <v>196</v>
      </c>
      <c r="B53" t="s">
        <v>222</v>
      </c>
    </row>
    <row r="54" spans="1:2" x14ac:dyDescent="0.2">
      <c r="A54" t="s">
        <v>102</v>
      </c>
      <c r="B54" t="s">
        <v>103</v>
      </c>
    </row>
    <row r="55" spans="1:2" x14ac:dyDescent="0.2">
      <c r="A55" t="s">
        <v>91</v>
      </c>
      <c r="B55" t="s">
        <v>227</v>
      </c>
    </row>
    <row r="56" spans="1:2" x14ac:dyDescent="0.2">
      <c r="A56" t="s">
        <v>108</v>
      </c>
      <c r="B56" t="s">
        <v>188</v>
      </c>
    </row>
    <row r="57" spans="1:2" x14ac:dyDescent="0.2">
      <c r="A57" t="s">
        <v>120</v>
      </c>
      <c r="B57" t="s">
        <v>228</v>
      </c>
    </row>
    <row r="58" spans="1:2" x14ac:dyDescent="0.2">
      <c r="A58" t="s">
        <v>197</v>
      </c>
      <c r="B58" t="s">
        <v>229</v>
      </c>
    </row>
    <row r="59" spans="1:2" x14ac:dyDescent="0.2">
      <c r="A59" t="s">
        <v>104</v>
      </c>
      <c r="B59" t="s">
        <v>105</v>
      </c>
    </row>
    <row r="60" spans="1:2" x14ac:dyDescent="0.2">
      <c r="A60" t="s">
        <v>121</v>
      </c>
      <c r="B60" t="s">
        <v>225</v>
      </c>
    </row>
    <row r="61" spans="1:2" x14ac:dyDescent="0.2">
      <c r="A61" t="s">
        <v>198</v>
      </c>
      <c r="B61" t="s">
        <v>230</v>
      </c>
    </row>
    <row r="62" spans="1:2" x14ac:dyDescent="0.2">
      <c r="A62" t="s">
        <v>199</v>
      </c>
      <c r="B62" t="s">
        <v>231</v>
      </c>
    </row>
    <row r="63" spans="1:2" x14ac:dyDescent="0.2">
      <c r="A63" t="s">
        <v>122</v>
      </c>
      <c r="B63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7CB6-9C30-A845-81DB-72BC3667CB1C}">
  <dimension ref="A1:I63"/>
  <sheetViews>
    <sheetView workbookViewId="0">
      <selection sqref="A1:I1048576"/>
    </sheetView>
  </sheetViews>
  <sheetFormatPr baseColWidth="10" defaultRowHeight="16" x14ac:dyDescent="0.2"/>
  <sheetData>
    <row r="1" spans="1:9" x14ac:dyDescent="0.2">
      <c r="B1" t="s">
        <v>109</v>
      </c>
      <c r="C1" t="s">
        <v>110</v>
      </c>
      <c r="D1" t="s">
        <v>111</v>
      </c>
      <c r="E1" t="s">
        <v>112</v>
      </c>
      <c r="F1" t="e">
        <f>-LOG10(p)</f>
        <v>#NAME?</v>
      </c>
      <c r="G1" t="s">
        <v>113</v>
      </c>
      <c r="H1" t="s">
        <v>114</v>
      </c>
      <c r="I1" t="s">
        <v>115</v>
      </c>
    </row>
    <row r="2" spans="1:9" x14ac:dyDescent="0.2">
      <c r="A2" t="s">
        <v>16</v>
      </c>
      <c r="B2">
        <v>56</v>
      </c>
      <c r="C2">
        <v>2.3532999999999999</v>
      </c>
      <c r="D2">
        <v>8</v>
      </c>
      <c r="E2">
        <v>1.9499000000000001E-3</v>
      </c>
      <c r="F2">
        <v>2.71</v>
      </c>
      <c r="G2">
        <v>0.15794</v>
      </c>
      <c r="H2">
        <v>0.15794</v>
      </c>
      <c r="I2">
        <v>0.56364000000000003</v>
      </c>
    </row>
    <row r="3" spans="1:9" x14ac:dyDescent="0.2">
      <c r="A3" t="s">
        <v>14</v>
      </c>
      <c r="B3">
        <v>56</v>
      </c>
      <c r="C3">
        <v>2.3532999999999999</v>
      </c>
      <c r="D3">
        <v>7</v>
      </c>
      <c r="E3">
        <v>7.9728999999999998E-3</v>
      </c>
      <c r="F3">
        <v>2.0983999999999998</v>
      </c>
      <c r="G3">
        <v>0.63783000000000001</v>
      </c>
      <c r="H3">
        <v>0.32290000000000002</v>
      </c>
      <c r="I3">
        <v>0.27272999999999997</v>
      </c>
    </row>
    <row r="4" spans="1:9" x14ac:dyDescent="0.2">
      <c r="A4" t="s">
        <v>18</v>
      </c>
      <c r="B4">
        <v>12</v>
      </c>
      <c r="C4">
        <v>0.50429000000000002</v>
      </c>
      <c r="D4">
        <v>3</v>
      </c>
      <c r="E4">
        <v>1.2009000000000001E-2</v>
      </c>
      <c r="F4">
        <v>1.9205000000000001</v>
      </c>
      <c r="G4">
        <v>0.94872000000000001</v>
      </c>
      <c r="H4">
        <v>0.32424999999999998</v>
      </c>
      <c r="I4">
        <v>0.27272999999999997</v>
      </c>
    </row>
    <row r="5" spans="1:9" x14ac:dyDescent="0.2">
      <c r="A5" t="s">
        <v>24</v>
      </c>
      <c r="B5">
        <v>28</v>
      </c>
      <c r="C5">
        <v>1.1767000000000001</v>
      </c>
      <c r="D5">
        <v>4</v>
      </c>
      <c r="E5">
        <v>2.7649E-2</v>
      </c>
      <c r="F5">
        <v>1.5583</v>
      </c>
      <c r="G5">
        <v>1</v>
      </c>
      <c r="H5">
        <v>0.44686999999999999</v>
      </c>
      <c r="I5">
        <v>0.33333000000000002</v>
      </c>
    </row>
    <row r="6" spans="1:9" x14ac:dyDescent="0.2">
      <c r="A6" t="s">
        <v>22</v>
      </c>
      <c r="B6">
        <v>42</v>
      </c>
      <c r="C6">
        <v>1.7649999999999999</v>
      </c>
      <c r="D6">
        <v>5</v>
      </c>
      <c r="E6">
        <v>2.9309999999999999E-2</v>
      </c>
      <c r="F6">
        <v>1.5329999999999999</v>
      </c>
      <c r="G6">
        <v>1</v>
      </c>
      <c r="H6">
        <v>0.44686999999999999</v>
      </c>
      <c r="I6">
        <v>0.56098000000000003</v>
      </c>
    </row>
    <row r="7" spans="1:9" x14ac:dyDescent="0.2">
      <c r="A7" t="s">
        <v>36</v>
      </c>
      <c r="B7">
        <v>92</v>
      </c>
      <c r="C7">
        <v>3.8662000000000001</v>
      </c>
      <c r="D7">
        <v>8</v>
      </c>
      <c r="E7">
        <v>3.6778999999999999E-2</v>
      </c>
      <c r="F7">
        <v>1.4343999999999999</v>
      </c>
      <c r="G7">
        <v>1</v>
      </c>
      <c r="H7">
        <v>0.44686999999999999</v>
      </c>
      <c r="I7">
        <v>0.34066000000000002</v>
      </c>
    </row>
    <row r="8" spans="1:9" x14ac:dyDescent="0.2">
      <c r="A8" t="s">
        <v>38</v>
      </c>
      <c r="B8">
        <v>31</v>
      </c>
      <c r="C8">
        <v>1.3027</v>
      </c>
      <c r="D8">
        <v>4</v>
      </c>
      <c r="E8">
        <v>3.8619000000000001E-2</v>
      </c>
      <c r="F8">
        <v>1.4132</v>
      </c>
      <c r="G8">
        <v>1</v>
      </c>
      <c r="H8">
        <v>0.44686999999999999</v>
      </c>
      <c r="I8">
        <v>0.23333000000000001</v>
      </c>
    </row>
    <row r="9" spans="1:9" x14ac:dyDescent="0.2">
      <c r="A9" t="s">
        <v>58</v>
      </c>
      <c r="B9">
        <v>34</v>
      </c>
      <c r="C9">
        <v>1.4288000000000001</v>
      </c>
      <c r="D9">
        <v>4</v>
      </c>
      <c r="E9">
        <v>5.1755000000000002E-2</v>
      </c>
      <c r="F9">
        <v>1.286</v>
      </c>
      <c r="G9">
        <v>1</v>
      </c>
      <c r="H9">
        <v>0.45857999999999999</v>
      </c>
      <c r="I9">
        <v>0.30303000000000002</v>
      </c>
    </row>
    <row r="10" spans="1:9" x14ac:dyDescent="0.2">
      <c r="A10" t="s">
        <v>46</v>
      </c>
      <c r="B10">
        <v>21</v>
      </c>
      <c r="C10">
        <v>0.88249999999999995</v>
      </c>
      <c r="D10">
        <v>3</v>
      </c>
      <c r="E10">
        <v>5.5272000000000002E-2</v>
      </c>
      <c r="F10">
        <v>1.2575000000000001</v>
      </c>
      <c r="G10">
        <v>1</v>
      </c>
      <c r="H10">
        <v>0.45857999999999999</v>
      </c>
      <c r="I10">
        <v>0.25</v>
      </c>
    </row>
    <row r="11" spans="1:9" x14ac:dyDescent="0.2">
      <c r="A11" t="s">
        <v>26</v>
      </c>
      <c r="B11">
        <v>35</v>
      </c>
      <c r="C11">
        <v>1.4708000000000001</v>
      </c>
      <c r="D11">
        <v>4</v>
      </c>
      <c r="E11">
        <v>5.6614999999999999E-2</v>
      </c>
      <c r="F11">
        <v>1.2471000000000001</v>
      </c>
      <c r="G11">
        <v>1</v>
      </c>
      <c r="H11">
        <v>0.45857999999999999</v>
      </c>
      <c r="I11">
        <v>0.20588000000000001</v>
      </c>
    </row>
    <row r="12" spans="1:9" x14ac:dyDescent="0.2">
      <c r="A12" t="s">
        <v>30</v>
      </c>
      <c r="B12">
        <v>10</v>
      </c>
      <c r="C12">
        <v>0.42024</v>
      </c>
      <c r="D12">
        <v>2</v>
      </c>
      <c r="E12">
        <v>6.3138E-2</v>
      </c>
      <c r="F12">
        <v>1.1997</v>
      </c>
      <c r="G12">
        <v>1</v>
      </c>
      <c r="H12">
        <v>0.46493000000000001</v>
      </c>
      <c r="I12">
        <v>0.33333000000000002</v>
      </c>
    </row>
    <row r="13" spans="1:9" x14ac:dyDescent="0.2">
      <c r="A13" t="s">
        <v>48</v>
      </c>
      <c r="B13">
        <v>72</v>
      </c>
      <c r="C13">
        <v>3.0257000000000001</v>
      </c>
      <c r="D13">
        <v>6</v>
      </c>
      <c r="E13">
        <v>7.8987000000000002E-2</v>
      </c>
      <c r="F13">
        <v>1.1024</v>
      </c>
      <c r="G13">
        <v>1</v>
      </c>
      <c r="H13">
        <v>0.53317000000000003</v>
      </c>
      <c r="I13">
        <v>0.25352000000000002</v>
      </c>
    </row>
    <row r="14" spans="1:9" x14ac:dyDescent="0.2">
      <c r="A14" t="s">
        <v>28</v>
      </c>
      <c r="B14">
        <v>74</v>
      </c>
      <c r="C14">
        <v>3.1097999999999999</v>
      </c>
      <c r="D14">
        <v>6</v>
      </c>
      <c r="E14">
        <v>8.7651999999999994E-2</v>
      </c>
      <c r="F14">
        <v>1.0571999999999999</v>
      </c>
      <c r="G14">
        <v>1</v>
      </c>
      <c r="H14">
        <v>0.54613999999999996</v>
      </c>
      <c r="I14">
        <v>0.12329</v>
      </c>
    </row>
    <row r="15" spans="1:9" x14ac:dyDescent="0.2">
      <c r="A15" t="s">
        <v>34</v>
      </c>
      <c r="B15">
        <v>29</v>
      </c>
      <c r="C15">
        <v>1.2186999999999999</v>
      </c>
      <c r="D15">
        <v>3</v>
      </c>
      <c r="E15">
        <v>0.11969</v>
      </c>
      <c r="F15">
        <v>0.92193000000000003</v>
      </c>
      <c r="G15">
        <v>1</v>
      </c>
      <c r="H15">
        <v>0.65190999999999999</v>
      </c>
      <c r="I15">
        <v>0.10714</v>
      </c>
    </row>
    <row r="16" spans="1:9" x14ac:dyDescent="0.2">
      <c r="A16" t="s">
        <v>32</v>
      </c>
      <c r="B16">
        <v>46</v>
      </c>
      <c r="C16">
        <v>1.9331</v>
      </c>
      <c r="D16">
        <v>4</v>
      </c>
      <c r="E16">
        <v>0.12503</v>
      </c>
      <c r="F16">
        <v>0.90300000000000002</v>
      </c>
      <c r="G16">
        <v>1</v>
      </c>
      <c r="H16">
        <v>0.65190999999999999</v>
      </c>
      <c r="I16">
        <v>8.8888999999999996E-2</v>
      </c>
    </row>
    <row r="17" spans="1:9" x14ac:dyDescent="0.2">
      <c r="A17" t="s">
        <v>40</v>
      </c>
      <c r="B17">
        <v>15</v>
      </c>
      <c r="C17">
        <v>0.63036000000000003</v>
      </c>
      <c r="D17">
        <v>2</v>
      </c>
      <c r="E17">
        <v>0.12877</v>
      </c>
      <c r="F17">
        <v>0.89017000000000002</v>
      </c>
      <c r="G17">
        <v>1</v>
      </c>
      <c r="H17">
        <v>0.65190999999999999</v>
      </c>
      <c r="I17">
        <v>0.5</v>
      </c>
    </row>
    <row r="18" spans="1:9" x14ac:dyDescent="0.2">
      <c r="A18" t="s">
        <v>50</v>
      </c>
      <c r="B18">
        <v>48</v>
      </c>
      <c r="C18">
        <v>2.0171999999999999</v>
      </c>
      <c r="D18">
        <v>4</v>
      </c>
      <c r="E18">
        <v>0.14011999999999999</v>
      </c>
      <c r="F18">
        <v>0.85350000000000004</v>
      </c>
      <c r="G18">
        <v>1</v>
      </c>
      <c r="H18">
        <v>0.66764000000000001</v>
      </c>
      <c r="I18">
        <v>0.42553000000000002</v>
      </c>
    </row>
    <row r="19" spans="1:9" x14ac:dyDescent="0.2">
      <c r="A19" t="s">
        <v>20</v>
      </c>
      <c r="B19">
        <v>4</v>
      </c>
      <c r="C19">
        <v>0.1681</v>
      </c>
      <c r="D19">
        <v>1</v>
      </c>
      <c r="E19">
        <v>0.15789</v>
      </c>
      <c r="F19">
        <v>0.80164999999999997</v>
      </c>
      <c r="G19">
        <v>1</v>
      </c>
      <c r="H19">
        <v>0.67425999999999997</v>
      </c>
      <c r="I19">
        <v>0.66666999999999998</v>
      </c>
    </row>
    <row r="20" spans="1:9" x14ac:dyDescent="0.2">
      <c r="A20" t="s">
        <v>44</v>
      </c>
      <c r="B20">
        <v>17</v>
      </c>
      <c r="C20">
        <v>0.71440999999999999</v>
      </c>
      <c r="D20">
        <v>2</v>
      </c>
      <c r="E20">
        <v>0.15816</v>
      </c>
      <c r="F20">
        <v>0.80089999999999995</v>
      </c>
      <c r="G20">
        <v>1</v>
      </c>
      <c r="H20">
        <v>0.67425999999999997</v>
      </c>
      <c r="I20">
        <v>0.375</v>
      </c>
    </row>
    <row r="21" spans="1:9" x14ac:dyDescent="0.2">
      <c r="A21" t="s">
        <v>42</v>
      </c>
      <c r="B21">
        <v>35</v>
      </c>
      <c r="C21">
        <v>1.4708000000000001</v>
      </c>
      <c r="D21">
        <v>3</v>
      </c>
      <c r="E21">
        <v>0.17987</v>
      </c>
      <c r="F21">
        <v>0.74502999999999997</v>
      </c>
      <c r="G21">
        <v>1</v>
      </c>
      <c r="H21">
        <v>0.72848999999999997</v>
      </c>
      <c r="I21">
        <v>0.23529</v>
      </c>
    </row>
    <row r="22" spans="1:9" x14ac:dyDescent="0.2">
      <c r="A22" t="s">
        <v>56</v>
      </c>
      <c r="B22">
        <v>59</v>
      </c>
      <c r="C22">
        <v>2.4794</v>
      </c>
      <c r="D22">
        <v>4</v>
      </c>
      <c r="E22">
        <v>0.23401</v>
      </c>
      <c r="F22">
        <v>0.63075999999999999</v>
      </c>
      <c r="G22">
        <v>1</v>
      </c>
      <c r="H22">
        <v>0.82777000000000001</v>
      </c>
      <c r="I22">
        <v>0.36207</v>
      </c>
    </row>
    <row r="23" spans="1:9" x14ac:dyDescent="0.2">
      <c r="A23" t="s">
        <v>71</v>
      </c>
      <c r="B23">
        <v>40</v>
      </c>
      <c r="C23">
        <v>1.681</v>
      </c>
      <c r="D23">
        <v>3</v>
      </c>
      <c r="E23">
        <v>0.23504</v>
      </c>
      <c r="F23">
        <v>0.62885000000000002</v>
      </c>
      <c r="G23">
        <v>1</v>
      </c>
      <c r="H23">
        <v>0.82777000000000001</v>
      </c>
      <c r="I23">
        <v>0.12820999999999999</v>
      </c>
    </row>
    <row r="24" spans="1:9" x14ac:dyDescent="0.2">
      <c r="A24" t="s">
        <v>69</v>
      </c>
      <c r="B24">
        <v>40</v>
      </c>
      <c r="C24">
        <v>1.681</v>
      </c>
      <c r="D24">
        <v>3</v>
      </c>
      <c r="E24">
        <v>0.23504</v>
      </c>
      <c r="F24">
        <v>0.62885000000000002</v>
      </c>
      <c r="G24">
        <v>1</v>
      </c>
      <c r="H24">
        <v>0.82777000000000001</v>
      </c>
      <c r="I24">
        <v>0.33333000000000002</v>
      </c>
    </row>
    <row r="25" spans="1:9" x14ac:dyDescent="0.2">
      <c r="A25" t="s">
        <v>192</v>
      </c>
      <c r="B25">
        <v>25</v>
      </c>
      <c r="C25">
        <v>1.0506</v>
      </c>
      <c r="D25">
        <v>2</v>
      </c>
      <c r="E25">
        <v>0.28321000000000002</v>
      </c>
      <c r="F25">
        <v>0.54788999999999999</v>
      </c>
      <c r="G25">
        <v>1</v>
      </c>
      <c r="H25">
        <v>0.92935000000000001</v>
      </c>
      <c r="I25">
        <v>0.20832999999999999</v>
      </c>
    </row>
    <row r="26" spans="1:9" x14ac:dyDescent="0.2">
      <c r="A26" t="s">
        <v>81</v>
      </c>
      <c r="B26">
        <v>107</v>
      </c>
      <c r="C26">
        <v>4.4965999999999999</v>
      </c>
      <c r="D26">
        <v>6</v>
      </c>
      <c r="E26">
        <v>0.29231000000000001</v>
      </c>
      <c r="F26">
        <v>0.53415999999999997</v>
      </c>
      <c r="G26">
        <v>1</v>
      </c>
      <c r="H26">
        <v>0.92935000000000001</v>
      </c>
      <c r="I26">
        <v>0.31131999999999999</v>
      </c>
    </row>
    <row r="27" spans="1:9" x14ac:dyDescent="0.2">
      <c r="A27" t="s">
        <v>77</v>
      </c>
      <c r="B27">
        <v>46</v>
      </c>
      <c r="C27">
        <v>1.9331</v>
      </c>
      <c r="D27">
        <v>3</v>
      </c>
      <c r="E27">
        <v>0.30447999999999997</v>
      </c>
      <c r="F27">
        <v>0.51644000000000001</v>
      </c>
      <c r="G27">
        <v>1</v>
      </c>
      <c r="H27">
        <v>0.92935000000000001</v>
      </c>
      <c r="I27">
        <v>0.24443999999999999</v>
      </c>
    </row>
    <row r="28" spans="1:9" x14ac:dyDescent="0.2">
      <c r="A28" t="s">
        <v>64</v>
      </c>
      <c r="B28">
        <v>88</v>
      </c>
      <c r="C28">
        <v>3.6981000000000002</v>
      </c>
      <c r="D28">
        <v>5</v>
      </c>
      <c r="E28">
        <v>0.30978</v>
      </c>
      <c r="F28">
        <v>0.50893999999999995</v>
      </c>
      <c r="G28">
        <v>1</v>
      </c>
      <c r="H28">
        <v>0.92935000000000001</v>
      </c>
      <c r="I28">
        <v>0.18390999999999999</v>
      </c>
    </row>
    <row r="29" spans="1:9" x14ac:dyDescent="0.2">
      <c r="A29" t="s">
        <v>83</v>
      </c>
      <c r="B29">
        <v>48</v>
      </c>
      <c r="C29">
        <v>2.0171999999999999</v>
      </c>
      <c r="D29">
        <v>3</v>
      </c>
      <c r="E29">
        <v>0.32794000000000001</v>
      </c>
      <c r="F29">
        <v>0.48420000000000002</v>
      </c>
      <c r="G29">
        <v>1</v>
      </c>
      <c r="H29">
        <v>0.94869999999999999</v>
      </c>
      <c r="I29">
        <v>0.12766</v>
      </c>
    </row>
    <row r="30" spans="1:9" x14ac:dyDescent="0.2">
      <c r="A30" t="s">
        <v>62</v>
      </c>
      <c r="B30">
        <v>11</v>
      </c>
      <c r="C30">
        <v>0.46226</v>
      </c>
      <c r="D30">
        <v>1</v>
      </c>
      <c r="E30">
        <v>0.37705</v>
      </c>
      <c r="F30">
        <v>0.42359999999999998</v>
      </c>
      <c r="G30">
        <v>1</v>
      </c>
      <c r="H30">
        <v>1</v>
      </c>
      <c r="I30">
        <v>0.5</v>
      </c>
    </row>
    <row r="31" spans="1:9" x14ac:dyDescent="0.2">
      <c r="A31" t="s">
        <v>193</v>
      </c>
      <c r="B31">
        <v>31</v>
      </c>
      <c r="C31">
        <v>1.3027</v>
      </c>
      <c r="D31">
        <v>2</v>
      </c>
      <c r="E31">
        <v>0.37706000000000001</v>
      </c>
      <c r="F31">
        <v>0.42359000000000002</v>
      </c>
      <c r="G31">
        <v>1</v>
      </c>
      <c r="H31">
        <v>1</v>
      </c>
      <c r="I31">
        <v>0.13333</v>
      </c>
    </row>
    <row r="32" spans="1:9" x14ac:dyDescent="0.2">
      <c r="A32" t="s">
        <v>87</v>
      </c>
      <c r="B32">
        <v>54</v>
      </c>
      <c r="C32">
        <v>2.2692999999999999</v>
      </c>
      <c r="D32">
        <v>3</v>
      </c>
      <c r="E32">
        <v>0.39804</v>
      </c>
      <c r="F32">
        <v>0.40006999999999998</v>
      </c>
      <c r="G32">
        <v>1</v>
      </c>
      <c r="H32">
        <v>1</v>
      </c>
      <c r="I32">
        <v>0.11321000000000001</v>
      </c>
    </row>
    <row r="33" spans="1:9" x14ac:dyDescent="0.2">
      <c r="A33" t="s">
        <v>54</v>
      </c>
      <c r="B33">
        <v>55</v>
      </c>
      <c r="C33">
        <v>2.3113000000000001</v>
      </c>
      <c r="D33">
        <v>3</v>
      </c>
      <c r="E33">
        <v>0.40958</v>
      </c>
      <c r="F33">
        <v>0.38766</v>
      </c>
      <c r="G33">
        <v>1</v>
      </c>
      <c r="H33">
        <v>1</v>
      </c>
      <c r="I33">
        <v>9.2592999999999995E-2</v>
      </c>
    </row>
    <row r="34" spans="1:9" x14ac:dyDescent="0.2">
      <c r="A34" t="s">
        <v>186</v>
      </c>
      <c r="B34">
        <v>57</v>
      </c>
      <c r="C34">
        <v>2.3954</v>
      </c>
      <c r="D34">
        <v>3</v>
      </c>
      <c r="E34">
        <v>0.43245</v>
      </c>
      <c r="F34">
        <v>0.36405999999999999</v>
      </c>
      <c r="G34">
        <v>1</v>
      </c>
      <c r="H34">
        <v>1</v>
      </c>
      <c r="I34">
        <v>0.14285999999999999</v>
      </c>
    </row>
    <row r="35" spans="1:9" x14ac:dyDescent="0.2">
      <c r="A35" t="s">
        <v>85</v>
      </c>
      <c r="B35">
        <v>81</v>
      </c>
      <c r="C35">
        <v>3.4039000000000001</v>
      </c>
      <c r="D35">
        <v>4</v>
      </c>
      <c r="E35">
        <v>0.44580999999999998</v>
      </c>
      <c r="F35">
        <v>0.35085</v>
      </c>
      <c r="G35">
        <v>1</v>
      </c>
      <c r="H35">
        <v>1</v>
      </c>
      <c r="I35">
        <v>0.17499999999999999</v>
      </c>
    </row>
    <row r="36" spans="1:9" x14ac:dyDescent="0.2">
      <c r="A36" t="s">
        <v>93</v>
      </c>
      <c r="B36">
        <v>174</v>
      </c>
      <c r="C36">
        <v>7.3121999999999998</v>
      </c>
      <c r="D36">
        <v>8</v>
      </c>
      <c r="E36">
        <v>0.45023000000000002</v>
      </c>
      <c r="F36">
        <v>0.34656999999999999</v>
      </c>
      <c r="G36">
        <v>1</v>
      </c>
      <c r="H36">
        <v>1</v>
      </c>
      <c r="I36">
        <v>0.32369999999999999</v>
      </c>
    </row>
    <row r="37" spans="1:9" x14ac:dyDescent="0.2">
      <c r="A37" t="s">
        <v>194</v>
      </c>
      <c r="B37">
        <v>63</v>
      </c>
      <c r="C37">
        <v>2.6475</v>
      </c>
      <c r="D37">
        <v>3</v>
      </c>
      <c r="E37">
        <v>0.49898999999999999</v>
      </c>
      <c r="F37">
        <v>0.30191000000000001</v>
      </c>
      <c r="G37">
        <v>1</v>
      </c>
      <c r="H37">
        <v>1</v>
      </c>
      <c r="I37">
        <v>0.12903000000000001</v>
      </c>
    </row>
    <row r="38" spans="1:9" x14ac:dyDescent="0.2">
      <c r="A38" t="s">
        <v>67</v>
      </c>
      <c r="B38">
        <v>40</v>
      </c>
      <c r="C38">
        <v>1.681</v>
      </c>
      <c r="D38">
        <v>2</v>
      </c>
      <c r="E38">
        <v>0.50717000000000001</v>
      </c>
      <c r="F38">
        <v>0.29485</v>
      </c>
      <c r="G38">
        <v>1</v>
      </c>
      <c r="H38">
        <v>1</v>
      </c>
      <c r="I38">
        <v>5.1282000000000001E-2</v>
      </c>
    </row>
    <row r="39" spans="1:9" x14ac:dyDescent="0.2">
      <c r="A39" t="s">
        <v>79</v>
      </c>
      <c r="B39">
        <v>18</v>
      </c>
      <c r="C39">
        <v>0.75643000000000005</v>
      </c>
      <c r="D39">
        <v>1</v>
      </c>
      <c r="E39">
        <v>0.53961000000000003</v>
      </c>
      <c r="F39">
        <v>0.26791999999999999</v>
      </c>
      <c r="G39">
        <v>1</v>
      </c>
      <c r="H39">
        <v>1</v>
      </c>
      <c r="I39">
        <v>0.11765</v>
      </c>
    </row>
    <row r="40" spans="1:9" x14ac:dyDescent="0.2">
      <c r="A40" t="s">
        <v>195</v>
      </c>
      <c r="B40">
        <v>19</v>
      </c>
      <c r="C40">
        <v>0.79845999999999995</v>
      </c>
      <c r="D40">
        <v>1</v>
      </c>
      <c r="E40">
        <v>0.55911</v>
      </c>
      <c r="F40">
        <v>0.25251000000000001</v>
      </c>
      <c r="G40">
        <v>1</v>
      </c>
      <c r="H40">
        <v>1</v>
      </c>
      <c r="I40">
        <v>0.11111</v>
      </c>
    </row>
    <row r="41" spans="1:9" x14ac:dyDescent="0.2">
      <c r="A41" t="s">
        <v>73</v>
      </c>
      <c r="B41">
        <v>70</v>
      </c>
      <c r="C41">
        <v>2.9417</v>
      </c>
      <c r="D41">
        <v>3</v>
      </c>
      <c r="E41">
        <v>0.57143999999999995</v>
      </c>
      <c r="F41">
        <v>0.24303</v>
      </c>
      <c r="G41">
        <v>1</v>
      </c>
      <c r="H41">
        <v>1</v>
      </c>
      <c r="I41">
        <v>0.14493</v>
      </c>
    </row>
    <row r="42" spans="1:9" x14ac:dyDescent="0.2">
      <c r="A42" t="s">
        <v>75</v>
      </c>
      <c r="B42">
        <v>72</v>
      </c>
      <c r="C42">
        <v>3.0257000000000001</v>
      </c>
      <c r="D42">
        <v>3</v>
      </c>
      <c r="E42">
        <v>0.59094999999999998</v>
      </c>
      <c r="F42">
        <v>0.22844999999999999</v>
      </c>
      <c r="G42">
        <v>1</v>
      </c>
      <c r="H42">
        <v>1</v>
      </c>
      <c r="I42">
        <v>8.4506999999999999E-2</v>
      </c>
    </row>
    <row r="43" spans="1:9" x14ac:dyDescent="0.2">
      <c r="A43" t="s">
        <v>52</v>
      </c>
      <c r="B43">
        <v>50</v>
      </c>
      <c r="C43">
        <v>2.1012</v>
      </c>
      <c r="D43">
        <v>2</v>
      </c>
      <c r="E43">
        <v>0.62978000000000001</v>
      </c>
      <c r="F43">
        <v>0.20080999999999999</v>
      </c>
      <c r="G43">
        <v>1</v>
      </c>
      <c r="H43">
        <v>1</v>
      </c>
      <c r="I43">
        <v>8.1632999999999997E-2</v>
      </c>
    </row>
    <row r="44" spans="1:9" x14ac:dyDescent="0.2">
      <c r="A44" t="s">
        <v>100</v>
      </c>
      <c r="B44">
        <v>87</v>
      </c>
      <c r="C44">
        <v>3.6560999999999999</v>
      </c>
      <c r="D44">
        <v>3</v>
      </c>
      <c r="E44">
        <v>0.71855999999999998</v>
      </c>
      <c r="F44">
        <v>0.14354</v>
      </c>
      <c r="G44">
        <v>1</v>
      </c>
      <c r="H44">
        <v>1</v>
      </c>
      <c r="I44">
        <v>9.3022999999999995E-2</v>
      </c>
    </row>
    <row r="45" spans="1:9" x14ac:dyDescent="0.2">
      <c r="A45" t="s">
        <v>60</v>
      </c>
      <c r="B45">
        <v>60</v>
      </c>
      <c r="C45">
        <v>2.5213999999999999</v>
      </c>
      <c r="D45">
        <v>2</v>
      </c>
      <c r="E45">
        <v>0.72763</v>
      </c>
      <c r="F45">
        <v>0.13808999999999999</v>
      </c>
      <c r="G45">
        <v>1</v>
      </c>
      <c r="H45">
        <v>1</v>
      </c>
      <c r="I45">
        <v>0.15254000000000001</v>
      </c>
    </row>
    <row r="46" spans="1:9" x14ac:dyDescent="0.2">
      <c r="A46" t="s">
        <v>89</v>
      </c>
      <c r="B46">
        <v>121</v>
      </c>
      <c r="C46">
        <v>5.0849000000000002</v>
      </c>
      <c r="D46">
        <v>4</v>
      </c>
      <c r="E46">
        <v>0.76019999999999999</v>
      </c>
      <c r="F46">
        <v>0.11907</v>
      </c>
      <c r="G46">
        <v>1</v>
      </c>
      <c r="H46">
        <v>1</v>
      </c>
      <c r="I46">
        <v>0.05</v>
      </c>
    </row>
    <row r="47" spans="1:9" x14ac:dyDescent="0.2">
      <c r="A47" t="s">
        <v>95</v>
      </c>
      <c r="B47">
        <v>34</v>
      </c>
      <c r="C47">
        <v>1.4288000000000001</v>
      </c>
      <c r="D47">
        <v>1</v>
      </c>
      <c r="E47">
        <v>0.77015999999999996</v>
      </c>
      <c r="F47">
        <v>0.11342000000000001</v>
      </c>
      <c r="G47">
        <v>1</v>
      </c>
      <c r="H47">
        <v>1</v>
      </c>
      <c r="I47">
        <v>6.0606E-2</v>
      </c>
    </row>
    <row r="48" spans="1:9" x14ac:dyDescent="0.2">
      <c r="A48" t="s">
        <v>96</v>
      </c>
      <c r="B48">
        <v>36</v>
      </c>
      <c r="C48">
        <v>1.5128999999999999</v>
      </c>
      <c r="D48">
        <v>1</v>
      </c>
      <c r="E48">
        <v>0.78935</v>
      </c>
      <c r="F48">
        <v>0.10273</v>
      </c>
      <c r="G48">
        <v>1</v>
      </c>
      <c r="H48">
        <v>1</v>
      </c>
      <c r="I48">
        <v>5.7142999999999999E-2</v>
      </c>
    </row>
    <row r="49" spans="1:9" x14ac:dyDescent="0.2">
      <c r="A49" t="s">
        <v>98</v>
      </c>
      <c r="B49">
        <v>36</v>
      </c>
      <c r="C49">
        <v>1.5128999999999999</v>
      </c>
      <c r="D49">
        <v>1</v>
      </c>
      <c r="E49">
        <v>0.78935</v>
      </c>
      <c r="F49">
        <v>0.10273</v>
      </c>
      <c r="G49">
        <v>1</v>
      </c>
      <c r="H49">
        <v>1</v>
      </c>
      <c r="I49">
        <v>8.5713999999999999E-2</v>
      </c>
    </row>
    <row r="50" spans="1:9" x14ac:dyDescent="0.2">
      <c r="A50" t="s">
        <v>66</v>
      </c>
      <c r="B50">
        <v>39</v>
      </c>
      <c r="C50">
        <v>1.6389</v>
      </c>
      <c r="D50">
        <v>1</v>
      </c>
      <c r="E50">
        <v>0.81520000000000004</v>
      </c>
      <c r="F50">
        <v>8.8736999999999996E-2</v>
      </c>
      <c r="G50">
        <v>1</v>
      </c>
      <c r="H50">
        <v>1</v>
      </c>
      <c r="I50">
        <v>0.28947000000000001</v>
      </c>
    </row>
    <row r="51" spans="1:9" x14ac:dyDescent="0.2">
      <c r="A51" t="s">
        <v>118</v>
      </c>
      <c r="B51">
        <v>41</v>
      </c>
      <c r="C51">
        <v>1.7230000000000001</v>
      </c>
      <c r="D51">
        <v>1</v>
      </c>
      <c r="E51">
        <v>0.83065999999999995</v>
      </c>
      <c r="F51">
        <v>8.0576999999999996E-2</v>
      </c>
      <c r="G51">
        <v>1</v>
      </c>
      <c r="H51">
        <v>1</v>
      </c>
      <c r="I51">
        <v>0.1</v>
      </c>
    </row>
    <row r="52" spans="1:9" x14ac:dyDescent="0.2">
      <c r="A52" t="s">
        <v>106</v>
      </c>
      <c r="B52">
        <v>78</v>
      </c>
      <c r="C52">
        <v>3.2778999999999998</v>
      </c>
      <c r="D52">
        <v>2</v>
      </c>
      <c r="E52">
        <v>0.84935000000000005</v>
      </c>
      <c r="F52">
        <v>7.0915000000000006E-2</v>
      </c>
      <c r="G52">
        <v>1</v>
      </c>
      <c r="H52">
        <v>1</v>
      </c>
      <c r="I52">
        <v>0.35065000000000002</v>
      </c>
    </row>
    <row r="53" spans="1:9" x14ac:dyDescent="0.2">
      <c r="A53" t="s">
        <v>196</v>
      </c>
      <c r="B53">
        <v>47</v>
      </c>
      <c r="C53">
        <v>1.9751000000000001</v>
      </c>
      <c r="D53">
        <v>1</v>
      </c>
      <c r="E53">
        <v>0.86977000000000004</v>
      </c>
      <c r="F53">
        <v>6.0595999999999997E-2</v>
      </c>
      <c r="G53">
        <v>1</v>
      </c>
      <c r="H53">
        <v>1</v>
      </c>
      <c r="I53">
        <v>0.13042999999999999</v>
      </c>
    </row>
    <row r="54" spans="1:9" x14ac:dyDescent="0.2">
      <c r="A54" t="s">
        <v>102</v>
      </c>
      <c r="B54">
        <v>49</v>
      </c>
      <c r="C54">
        <v>2.0592000000000001</v>
      </c>
      <c r="D54">
        <v>1</v>
      </c>
      <c r="E54">
        <v>0.88070000000000004</v>
      </c>
      <c r="F54">
        <v>5.5170999999999998E-2</v>
      </c>
      <c r="G54">
        <v>1</v>
      </c>
      <c r="H54">
        <v>1</v>
      </c>
      <c r="I54">
        <v>2.0833000000000001E-2</v>
      </c>
    </row>
    <row r="55" spans="1:9" x14ac:dyDescent="0.2">
      <c r="A55" t="s">
        <v>91</v>
      </c>
      <c r="B55">
        <v>97</v>
      </c>
      <c r="C55">
        <v>4.0762999999999998</v>
      </c>
      <c r="D55">
        <v>2</v>
      </c>
      <c r="E55">
        <v>0.92266999999999999</v>
      </c>
      <c r="F55">
        <v>3.4953999999999999E-2</v>
      </c>
      <c r="G55">
        <v>1</v>
      </c>
      <c r="H55">
        <v>1</v>
      </c>
      <c r="I55">
        <v>6.25E-2</v>
      </c>
    </row>
    <row r="56" spans="1:9" x14ac:dyDescent="0.2">
      <c r="A56" t="s">
        <v>108</v>
      </c>
      <c r="B56">
        <v>102</v>
      </c>
      <c r="C56">
        <v>4.2864000000000004</v>
      </c>
      <c r="D56">
        <v>2</v>
      </c>
      <c r="E56">
        <v>0.93549000000000004</v>
      </c>
      <c r="F56">
        <v>2.8961000000000001E-2</v>
      </c>
      <c r="G56">
        <v>1</v>
      </c>
      <c r="H56">
        <v>1</v>
      </c>
      <c r="I56">
        <v>5.9406E-2</v>
      </c>
    </row>
    <row r="57" spans="1:9" x14ac:dyDescent="0.2">
      <c r="A57" t="s">
        <v>120</v>
      </c>
      <c r="B57">
        <v>68</v>
      </c>
      <c r="C57">
        <v>2.8576000000000001</v>
      </c>
      <c r="D57">
        <v>1</v>
      </c>
      <c r="E57">
        <v>0.94833999999999996</v>
      </c>
      <c r="F57">
        <v>2.3035E-2</v>
      </c>
      <c r="G57">
        <v>1</v>
      </c>
      <c r="H57">
        <v>1</v>
      </c>
      <c r="I57">
        <v>4.4776000000000003E-2</v>
      </c>
    </row>
    <row r="58" spans="1:9" x14ac:dyDescent="0.2">
      <c r="A58" t="s">
        <v>197</v>
      </c>
      <c r="B58">
        <v>70</v>
      </c>
      <c r="C58">
        <v>2.9417</v>
      </c>
      <c r="D58">
        <v>1</v>
      </c>
      <c r="E58">
        <v>0.95272000000000001</v>
      </c>
      <c r="F58">
        <v>2.1035000000000002E-2</v>
      </c>
      <c r="G58">
        <v>1</v>
      </c>
      <c r="H58">
        <v>1</v>
      </c>
      <c r="I58">
        <v>0.2029</v>
      </c>
    </row>
    <row r="59" spans="1:9" x14ac:dyDescent="0.2">
      <c r="A59" t="s">
        <v>104</v>
      </c>
      <c r="B59">
        <v>75</v>
      </c>
      <c r="C59">
        <v>3.1518000000000002</v>
      </c>
      <c r="D59">
        <v>1</v>
      </c>
      <c r="E59">
        <v>0.96211999999999998</v>
      </c>
      <c r="F59">
        <v>1.6771000000000001E-2</v>
      </c>
      <c r="G59">
        <v>1</v>
      </c>
      <c r="H59">
        <v>1</v>
      </c>
      <c r="I59">
        <v>2.7026999999999999E-2</v>
      </c>
    </row>
    <row r="60" spans="1:9" x14ac:dyDescent="0.2">
      <c r="A60" t="s">
        <v>121</v>
      </c>
      <c r="B60">
        <v>80</v>
      </c>
      <c r="C60">
        <v>3.3618999999999999</v>
      </c>
      <c r="D60">
        <v>1</v>
      </c>
      <c r="E60">
        <v>0.96967000000000003</v>
      </c>
      <c r="F60">
        <v>1.3377999999999999E-2</v>
      </c>
      <c r="G60">
        <v>1</v>
      </c>
      <c r="H60">
        <v>1</v>
      </c>
      <c r="I60">
        <v>2.5316000000000002E-2</v>
      </c>
    </row>
    <row r="61" spans="1:9" x14ac:dyDescent="0.2">
      <c r="A61" t="s">
        <v>198</v>
      </c>
      <c r="B61">
        <v>81</v>
      </c>
      <c r="C61">
        <v>3.4039000000000001</v>
      </c>
      <c r="D61">
        <v>1</v>
      </c>
      <c r="E61">
        <v>0.97099000000000002</v>
      </c>
      <c r="F61">
        <v>1.2787E-2</v>
      </c>
      <c r="G61">
        <v>1</v>
      </c>
      <c r="H61">
        <v>1</v>
      </c>
      <c r="I61">
        <v>2.5000000000000001E-2</v>
      </c>
    </row>
    <row r="62" spans="1:9" x14ac:dyDescent="0.2">
      <c r="A62" t="s">
        <v>199</v>
      </c>
      <c r="B62">
        <v>81</v>
      </c>
      <c r="C62">
        <v>3.4039000000000001</v>
      </c>
      <c r="D62">
        <v>1</v>
      </c>
      <c r="E62">
        <v>0.97099000000000002</v>
      </c>
      <c r="F62">
        <v>1.2787E-2</v>
      </c>
      <c r="G62">
        <v>1</v>
      </c>
      <c r="H62">
        <v>1</v>
      </c>
      <c r="I62">
        <v>2.5000000000000001E-2</v>
      </c>
    </row>
    <row r="63" spans="1:9" x14ac:dyDescent="0.2">
      <c r="A63" t="s">
        <v>122</v>
      </c>
      <c r="B63">
        <v>83</v>
      </c>
      <c r="C63">
        <v>3.488</v>
      </c>
      <c r="D63">
        <v>1</v>
      </c>
      <c r="E63">
        <v>0.97345999999999999</v>
      </c>
      <c r="F63">
        <v>1.1683000000000001E-2</v>
      </c>
      <c r="G63">
        <v>1</v>
      </c>
      <c r="H63">
        <v>1</v>
      </c>
      <c r="I63">
        <v>4.8779999999999997E-2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4C35-7D3E-4343-ADFA-F0F8F20F53D4}">
  <dimension ref="A1:B55"/>
  <sheetViews>
    <sheetView workbookViewId="0">
      <selection activeCell="E11" sqref="E11"/>
    </sheetView>
  </sheetViews>
  <sheetFormatPr baseColWidth="10" defaultRowHeight="16" x14ac:dyDescent="0.2"/>
  <cols>
    <col min="1" max="1" width="46.5" bestFit="1" customWidth="1"/>
    <col min="2" max="2" width="106.6640625" bestFit="1" customWidth="1"/>
  </cols>
  <sheetData>
    <row r="1" spans="1:2" x14ac:dyDescent="0.2">
      <c r="B1" t="s">
        <v>13</v>
      </c>
    </row>
    <row r="2" spans="1:2" x14ac:dyDescent="0.2">
      <c r="A2" t="s">
        <v>22</v>
      </c>
      <c r="B2" t="s">
        <v>123</v>
      </c>
    </row>
    <row r="3" spans="1:2" x14ac:dyDescent="0.2">
      <c r="A3" t="s">
        <v>14</v>
      </c>
      <c r="B3" t="s">
        <v>124</v>
      </c>
    </row>
    <row r="4" spans="1:2" x14ac:dyDescent="0.2">
      <c r="A4" t="s">
        <v>16</v>
      </c>
      <c r="B4" t="s">
        <v>125</v>
      </c>
    </row>
    <row r="5" spans="1:2" x14ac:dyDescent="0.2">
      <c r="A5" t="s">
        <v>28</v>
      </c>
      <c r="B5" t="s">
        <v>126</v>
      </c>
    </row>
    <row r="6" spans="1:2" x14ac:dyDescent="0.2">
      <c r="A6" t="s">
        <v>24</v>
      </c>
      <c r="B6" t="s">
        <v>127</v>
      </c>
    </row>
    <row r="7" spans="1:2" x14ac:dyDescent="0.2">
      <c r="A7" t="s">
        <v>30</v>
      </c>
      <c r="B7" t="s">
        <v>128</v>
      </c>
    </row>
    <row r="8" spans="1:2" x14ac:dyDescent="0.2">
      <c r="A8" t="s">
        <v>18</v>
      </c>
      <c r="B8" t="s">
        <v>19</v>
      </c>
    </row>
    <row r="9" spans="1:2" x14ac:dyDescent="0.2">
      <c r="A9" t="s">
        <v>40</v>
      </c>
      <c r="B9" t="s">
        <v>129</v>
      </c>
    </row>
    <row r="10" spans="1:2" x14ac:dyDescent="0.2">
      <c r="A10" t="s">
        <v>73</v>
      </c>
      <c r="B10" t="s">
        <v>130</v>
      </c>
    </row>
    <row r="11" spans="1:2" x14ac:dyDescent="0.2">
      <c r="A11" t="s">
        <v>50</v>
      </c>
      <c r="B11" t="s">
        <v>131</v>
      </c>
    </row>
    <row r="12" spans="1:2" x14ac:dyDescent="0.2">
      <c r="A12" t="s">
        <v>58</v>
      </c>
      <c r="B12" t="s">
        <v>132</v>
      </c>
    </row>
    <row r="13" spans="1:2" x14ac:dyDescent="0.2">
      <c r="A13" t="s">
        <v>26</v>
      </c>
      <c r="B13" t="s">
        <v>27</v>
      </c>
    </row>
    <row r="14" spans="1:2" x14ac:dyDescent="0.2">
      <c r="A14" t="s">
        <v>54</v>
      </c>
      <c r="B14" t="s">
        <v>133</v>
      </c>
    </row>
    <row r="15" spans="1:2" x14ac:dyDescent="0.2">
      <c r="A15" t="s">
        <v>67</v>
      </c>
      <c r="B15" t="s">
        <v>134</v>
      </c>
    </row>
    <row r="16" spans="1:2" x14ac:dyDescent="0.2">
      <c r="A16" t="s">
        <v>36</v>
      </c>
      <c r="B16" t="s">
        <v>135</v>
      </c>
    </row>
    <row r="17" spans="1:2" x14ac:dyDescent="0.2">
      <c r="A17" t="s">
        <v>56</v>
      </c>
      <c r="B17" t="s">
        <v>136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20</v>
      </c>
      <c r="B21" t="s">
        <v>137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85</v>
      </c>
      <c r="B25" t="s">
        <v>138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62</v>
      </c>
      <c r="B27" t="s">
        <v>63</v>
      </c>
    </row>
    <row r="28" spans="1:2" x14ac:dyDescent="0.2">
      <c r="A28" t="s">
        <v>87</v>
      </c>
      <c r="B28" t="s">
        <v>139</v>
      </c>
    </row>
    <row r="29" spans="1:2" x14ac:dyDescent="0.2">
      <c r="A29" t="s">
        <v>117</v>
      </c>
      <c r="B29" t="s">
        <v>140</v>
      </c>
    </row>
    <row r="30" spans="1:2" x14ac:dyDescent="0.2">
      <c r="A30" t="s">
        <v>60</v>
      </c>
      <c r="B30" t="s">
        <v>141</v>
      </c>
    </row>
    <row r="31" spans="1:2" x14ac:dyDescent="0.2">
      <c r="A31" t="s">
        <v>69</v>
      </c>
      <c r="B31" t="s">
        <v>142</v>
      </c>
    </row>
    <row r="32" spans="1:2" x14ac:dyDescent="0.2">
      <c r="A32" t="s">
        <v>64</v>
      </c>
      <c r="B32" t="s">
        <v>65</v>
      </c>
    </row>
    <row r="33" spans="1:2" x14ac:dyDescent="0.2">
      <c r="A33" t="s">
        <v>118</v>
      </c>
      <c r="B33" t="s">
        <v>143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77</v>
      </c>
      <c r="B35" t="s">
        <v>78</v>
      </c>
    </row>
    <row r="36" spans="1:2" x14ac:dyDescent="0.2">
      <c r="A36" t="s">
        <v>75</v>
      </c>
      <c r="B36" t="s">
        <v>76</v>
      </c>
    </row>
    <row r="37" spans="1:2" x14ac:dyDescent="0.2">
      <c r="A37" t="s">
        <v>83</v>
      </c>
      <c r="B37" t="s">
        <v>84</v>
      </c>
    </row>
    <row r="38" spans="1:2" x14ac:dyDescent="0.2">
      <c r="A38" t="s">
        <v>102</v>
      </c>
      <c r="B38" t="s">
        <v>144</v>
      </c>
    </row>
    <row r="39" spans="1:2" x14ac:dyDescent="0.2">
      <c r="A39" t="s">
        <v>52</v>
      </c>
      <c r="B39" t="s">
        <v>145</v>
      </c>
    </row>
    <row r="40" spans="1:2" x14ac:dyDescent="0.2">
      <c r="A40" t="s">
        <v>81</v>
      </c>
      <c r="B40" t="s">
        <v>82</v>
      </c>
    </row>
    <row r="41" spans="1:2" x14ac:dyDescent="0.2">
      <c r="A41" t="s">
        <v>100</v>
      </c>
      <c r="B41" t="s">
        <v>146</v>
      </c>
    </row>
    <row r="42" spans="1:2" x14ac:dyDescent="0.2">
      <c r="A42" t="s">
        <v>95</v>
      </c>
      <c r="B42" t="s">
        <v>63</v>
      </c>
    </row>
    <row r="43" spans="1:2" x14ac:dyDescent="0.2">
      <c r="A43" t="s">
        <v>89</v>
      </c>
      <c r="B43" t="s">
        <v>90</v>
      </c>
    </row>
    <row r="44" spans="1:2" x14ac:dyDescent="0.2">
      <c r="A44" t="s">
        <v>96</v>
      </c>
      <c r="B44" t="s">
        <v>97</v>
      </c>
    </row>
    <row r="45" spans="1:2" x14ac:dyDescent="0.2">
      <c r="A45" t="s">
        <v>98</v>
      </c>
      <c r="B45" t="s">
        <v>99</v>
      </c>
    </row>
    <row r="46" spans="1:2" x14ac:dyDescent="0.2">
      <c r="A46" t="s">
        <v>66</v>
      </c>
      <c r="B46" t="s">
        <v>137</v>
      </c>
    </row>
    <row r="47" spans="1:2" x14ac:dyDescent="0.2">
      <c r="A47" t="s">
        <v>71</v>
      </c>
      <c r="B47" t="s">
        <v>147</v>
      </c>
    </row>
    <row r="48" spans="1:2" x14ac:dyDescent="0.2">
      <c r="A48" t="s">
        <v>104</v>
      </c>
      <c r="B48" t="s">
        <v>148</v>
      </c>
    </row>
    <row r="49" spans="1:2" x14ac:dyDescent="0.2">
      <c r="A49" t="s">
        <v>93</v>
      </c>
      <c r="B49" t="s">
        <v>149</v>
      </c>
    </row>
    <row r="50" spans="1:2" x14ac:dyDescent="0.2">
      <c r="A50" t="s">
        <v>119</v>
      </c>
      <c r="B50" t="s">
        <v>140</v>
      </c>
    </row>
    <row r="51" spans="1:2" x14ac:dyDescent="0.2">
      <c r="A51" t="s">
        <v>120</v>
      </c>
      <c r="B51" t="s">
        <v>150</v>
      </c>
    </row>
    <row r="52" spans="1:2" x14ac:dyDescent="0.2">
      <c r="A52" t="s">
        <v>106</v>
      </c>
      <c r="B52" t="s">
        <v>107</v>
      </c>
    </row>
    <row r="53" spans="1:2" x14ac:dyDescent="0.2">
      <c r="A53" t="s">
        <v>121</v>
      </c>
      <c r="B53" t="s">
        <v>151</v>
      </c>
    </row>
    <row r="54" spans="1:2" x14ac:dyDescent="0.2">
      <c r="A54" t="s">
        <v>122</v>
      </c>
      <c r="B54" t="s">
        <v>152</v>
      </c>
    </row>
    <row r="55" spans="1:2" x14ac:dyDescent="0.2">
      <c r="A55" t="s">
        <v>108</v>
      </c>
      <c r="B5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9364-A76D-4348-BA62-1DD0ABA82E89}">
  <dimension ref="A1:I55"/>
  <sheetViews>
    <sheetView workbookViewId="0">
      <selection activeCell="P31" sqref="P31"/>
    </sheetView>
  </sheetViews>
  <sheetFormatPr baseColWidth="10" defaultRowHeight="16" x14ac:dyDescent="0.2"/>
  <sheetData>
    <row r="1" spans="1:9" x14ac:dyDescent="0.2">
      <c r="B1" t="s">
        <v>109</v>
      </c>
      <c r="C1" t="s">
        <v>110</v>
      </c>
      <c r="D1" t="s">
        <v>111</v>
      </c>
      <c r="E1" t="s">
        <v>112</v>
      </c>
      <c r="F1" t="e">
        <f>-LOG10(p)</f>
        <v>#NAME?</v>
      </c>
      <c r="G1" t="s">
        <v>113</v>
      </c>
      <c r="H1" t="s">
        <v>114</v>
      </c>
      <c r="I1" t="s">
        <v>115</v>
      </c>
    </row>
    <row r="2" spans="1:9" x14ac:dyDescent="0.2">
      <c r="A2" t="s">
        <v>22</v>
      </c>
      <c r="B2">
        <v>42</v>
      </c>
      <c r="C2">
        <v>1.819</v>
      </c>
      <c r="D2">
        <v>10</v>
      </c>
      <c r="E2" s="4" t="s">
        <v>116</v>
      </c>
      <c r="F2">
        <v>5.1624999999999996</v>
      </c>
      <c r="G2">
        <v>5.5718E-4</v>
      </c>
      <c r="H2">
        <v>5.5718E-4</v>
      </c>
      <c r="I2">
        <v>1.0488</v>
      </c>
    </row>
    <row r="3" spans="1:9" x14ac:dyDescent="0.2">
      <c r="A3" t="s">
        <v>14</v>
      </c>
      <c r="B3">
        <v>56</v>
      </c>
      <c r="C3">
        <v>2.4253999999999998</v>
      </c>
      <c r="D3">
        <v>8</v>
      </c>
      <c r="E3">
        <v>2.3674999999999998E-3</v>
      </c>
      <c r="F3">
        <v>2.6257000000000001</v>
      </c>
      <c r="G3">
        <v>0.18940000000000001</v>
      </c>
      <c r="H3">
        <v>6.3921000000000006E-2</v>
      </c>
      <c r="I3">
        <v>0.41818</v>
      </c>
    </row>
    <row r="4" spans="1:9" x14ac:dyDescent="0.2">
      <c r="A4" t="s">
        <v>16</v>
      </c>
      <c r="B4">
        <v>56</v>
      </c>
      <c r="C4">
        <v>2.4253999999999998</v>
      </c>
      <c r="D4">
        <v>8</v>
      </c>
      <c r="E4">
        <v>2.3674999999999998E-3</v>
      </c>
      <c r="F4">
        <v>2.6257000000000001</v>
      </c>
      <c r="G4">
        <v>0.18940000000000001</v>
      </c>
      <c r="H4">
        <v>6.3921000000000006E-2</v>
      </c>
      <c r="I4">
        <v>0.6</v>
      </c>
    </row>
    <row r="5" spans="1:9" x14ac:dyDescent="0.2">
      <c r="A5" t="s">
        <v>28</v>
      </c>
      <c r="B5">
        <v>74</v>
      </c>
      <c r="C5">
        <v>3.2050000000000001</v>
      </c>
      <c r="D5">
        <v>9</v>
      </c>
      <c r="E5">
        <v>3.9547999999999996E-3</v>
      </c>
      <c r="F5">
        <v>2.4028999999999998</v>
      </c>
      <c r="G5">
        <v>0.30847000000000002</v>
      </c>
      <c r="H5">
        <v>8.0084000000000002E-2</v>
      </c>
      <c r="I5">
        <v>0.26027</v>
      </c>
    </row>
    <row r="6" spans="1:9" x14ac:dyDescent="0.2">
      <c r="A6" t="s">
        <v>24</v>
      </c>
      <c r="B6">
        <v>28</v>
      </c>
      <c r="C6">
        <v>1.2126999999999999</v>
      </c>
      <c r="D6">
        <v>5</v>
      </c>
      <c r="E6">
        <v>6.1234000000000002E-3</v>
      </c>
      <c r="F6">
        <v>2.2130000000000001</v>
      </c>
      <c r="G6">
        <v>0.47149999999999997</v>
      </c>
      <c r="H6">
        <v>9.9199999999999997E-2</v>
      </c>
      <c r="I6">
        <v>0.44444</v>
      </c>
    </row>
    <row r="7" spans="1:9" x14ac:dyDescent="0.2">
      <c r="A7" t="s">
        <v>30</v>
      </c>
      <c r="B7">
        <v>10</v>
      </c>
      <c r="C7">
        <v>0.43309999999999998</v>
      </c>
      <c r="D7">
        <v>3</v>
      </c>
      <c r="E7">
        <v>7.5783999999999999E-3</v>
      </c>
      <c r="F7">
        <v>2.1204000000000001</v>
      </c>
      <c r="G7">
        <v>0.57596000000000003</v>
      </c>
      <c r="H7">
        <v>0.10231</v>
      </c>
      <c r="I7">
        <v>0.55556000000000005</v>
      </c>
    </row>
    <row r="8" spans="1:9" x14ac:dyDescent="0.2">
      <c r="A8" t="s">
        <v>18</v>
      </c>
      <c r="B8">
        <v>12</v>
      </c>
      <c r="C8">
        <v>0.51973000000000003</v>
      </c>
      <c r="D8">
        <v>3</v>
      </c>
      <c r="E8">
        <v>1.3043000000000001E-2</v>
      </c>
      <c r="F8">
        <v>1.8846000000000001</v>
      </c>
      <c r="G8">
        <v>0.97821000000000002</v>
      </c>
      <c r="H8">
        <v>0.15092</v>
      </c>
      <c r="I8">
        <v>0.27272999999999997</v>
      </c>
    </row>
    <row r="9" spans="1:9" x14ac:dyDescent="0.2">
      <c r="A9" t="s">
        <v>40</v>
      </c>
      <c r="B9">
        <v>15</v>
      </c>
      <c r="C9">
        <v>0.64966000000000002</v>
      </c>
      <c r="D9">
        <v>3</v>
      </c>
      <c r="E9">
        <v>2.4546999999999999E-2</v>
      </c>
      <c r="F9">
        <v>1.61</v>
      </c>
      <c r="G9">
        <v>1</v>
      </c>
      <c r="H9">
        <v>0.24853</v>
      </c>
      <c r="I9">
        <v>0.64285999999999999</v>
      </c>
    </row>
    <row r="10" spans="1:9" x14ac:dyDescent="0.2">
      <c r="A10" t="s">
        <v>73</v>
      </c>
      <c r="B10">
        <v>70</v>
      </c>
      <c r="C10">
        <v>3.0316999999999998</v>
      </c>
      <c r="D10">
        <v>7</v>
      </c>
      <c r="E10">
        <v>2.9554E-2</v>
      </c>
      <c r="F10">
        <v>1.5294000000000001</v>
      </c>
      <c r="G10">
        <v>1</v>
      </c>
      <c r="H10">
        <v>0.26599</v>
      </c>
      <c r="I10">
        <v>0.2029</v>
      </c>
    </row>
    <row r="11" spans="1:9" x14ac:dyDescent="0.2">
      <c r="A11" t="s">
        <v>50</v>
      </c>
      <c r="B11">
        <v>48</v>
      </c>
      <c r="C11">
        <v>2.0789</v>
      </c>
      <c r="D11">
        <v>5</v>
      </c>
      <c r="E11">
        <v>5.3996000000000002E-2</v>
      </c>
      <c r="F11">
        <v>1.2676000000000001</v>
      </c>
      <c r="G11">
        <v>1</v>
      </c>
      <c r="H11">
        <v>0.41776999999999997</v>
      </c>
      <c r="I11">
        <v>0.55318999999999996</v>
      </c>
    </row>
    <row r="12" spans="1:9" x14ac:dyDescent="0.2">
      <c r="A12" t="s">
        <v>58</v>
      </c>
      <c r="B12">
        <v>34</v>
      </c>
      <c r="C12">
        <v>1.4725999999999999</v>
      </c>
      <c r="D12">
        <v>4</v>
      </c>
      <c r="E12">
        <v>5.6734E-2</v>
      </c>
      <c r="F12">
        <v>1.2462</v>
      </c>
      <c r="G12">
        <v>1</v>
      </c>
      <c r="H12">
        <v>0.41776999999999997</v>
      </c>
      <c r="I12">
        <v>0.42424000000000001</v>
      </c>
    </row>
    <row r="13" spans="1:9" x14ac:dyDescent="0.2">
      <c r="A13" t="s">
        <v>26</v>
      </c>
      <c r="B13">
        <v>35</v>
      </c>
      <c r="C13">
        <v>1.5159</v>
      </c>
      <c r="D13">
        <v>4</v>
      </c>
      <c r="E13">
        <v>6.2001000000000001E-2</v>
      </c>
      <c r="F13">
        <v>1.2076</v>
      </c>
      <c r="G13">
        <v>1</v>
      </c>
      <c r="H13">
        <v>0.41850999999999999</v>
      </c>
      <c r="I13">
        <v>0.20588000000000001</v>
      </c>
    </row>
    <row r="14" spans="1:9" x14ac:dyDescent="0.2">
      <c r="A14" t="s">
        <v>54</v>
      </c>
      <c r="B14">
        <v>55</v>
      </c>
      <c r="C14">
        <v>2.3820999999999999</v>
      </c>
      <c r="D14">
        <v>5</v>
      </c>
      <c r="E14">
        <v>8.6737999999999996E-2</v>
      </c>
      <c r="F14">
        <v>1.0618000000000001</v>
      </c>
      <c r="G14">
        <v>1</v>
      </c>
      <c r="H14">
        <v>0.53242</v>
      </c>
      <c r="I14">
        <v>0.16667000000000001</v>
      </c>
    </row>
    <row r="15" spans="1:9" x14ac:dyDescent="0.2">
      <c r="A15" t="s">
        <v>67</v>
      </c>
      <c r="B15">
        <v>40</v>
      </c>
      <c r="C15">
        <v>1.7323999999999999</v>
      </c>
      <c r="D15">
        <v>4</v>
      </c>
      <c r="E15">
        <v>9.2022999999999994E-2</v>
      </c>
      <c r="F15">
        <v>1.0361</v>
      </c>
      <c r="G15">
        <v>1</v>
      </c>
      <c r="H15">
        <v>0.53242</v>
      </c>
      <c r="I15">
        <v>0.15384999999999999</v>
      </c>
    </row>
    <row r="16" spans="1:9" x14ac:dyDescent="0.2">
      <c r="A16" t="s">
        <v>36</v>
      </c>
      <c r="B16">
        <v>92</v>
      </c>
      <c r="C16">
        <v>3.9845999999999999</v>
      </c>
      <c r="D16">
        <v>7</v>
      </c>
      <c r="E16">
        <v>0.10018000000000001</v>
      </c>
      <c r="F16">
        <v>0.99922999999999995</v>
      </c>
      <c r="G16">
        <v>1</v>
      </c>
      <c r="H16">
        <v>0.54096</v>
      </c>
      <c r="I16">
        <v>0.29670000000000002</v>
      </c>
    </row>
    <row r="17" spans="1:9" x14ac:dyDescent="0.2">
      <c r="A17" t="s">
        <v>56</v>
      </c>
      <c r="B17">
        <v>59</v>
      </c>
      <c r="C17">
        <v>2.5552999999999999</v>
      </c>
      <c r="D17">
        <v>5</v>
      </c>
      <c r="E17">
        <v>0.10925</v>
      </c>
      <c r="F17">
        <v>0.96158999999999994</v>
      </c>
      <c r="G17">
        <v>1</v>
      </c>
      <c r="H17">
        <v>0.55306999999999995</v>
      </c>
      <c r="I17">
        <v>0.51724000000000003</v>
      </c>
    </row>
    <row r="18" spans="1:9" x14ac:dyDescent="0.2">
      <c r="A18" t="s">
        <v>34</v>
      </c>
      <c r="B18">
        <v>29</v>
      </c>
      <c r="C18">
        <v>1.256</v>
      </c>
      <c r="D18">
        <v>3</v>
      </c>
      <c r="E18">
        <v>0.12798000000000001</v>
      </c>
      <c r="F18">
        <v>0.89287000000000005</v>
      </c>
      <c r="G18">
        <v>1</v>
      </c>
      <c r="H18">
        <v>0.60977999999999999</v>
      </c>
      <c r="I18">
        <v>0.10714</v>
      </c>
    </row>
    <row r="19" spans="1:9" x14ac:dyDescent="0.2">
      <c r="A19" t="s">
        <v>32</v>
      </c>
      <c r="B19">
        <v>46</v>
      </c>
      <c r="C19">
        <v>1.9923</v>
      </c>
      <c r="D19">
        <v>4</v>
      </c>
      <c r="E19">
        <v>0.13550999999999999</v>
      </c>
      <c r="F19">
        <v>0.86802999999999997</v>
      </c>
      <c r="G19">
        <v>1</v>
      </c>
      <c r="H19">
        <v>0.60979000000000005</v>
      </c>
      <c r="I19">
        <v>8.8888999999999996E-2</v>
      </c>
    </row>
    <row r="20" spans="1:9" x14ac:dyDescent="0.2">
      <c r="A20" t="s">
        <v>38</v>
      </c>
      <c r="B20">
        <v>31</v>
      </c>
      <c r="C20">
        <v>1.3426</v>
      </c>
      <c r="D20">
        <v>3</v>
      </c>
      <c r="E20">
        <v>0.14818000000000001</v>
      </c>
      <c r="F20">
        <v>0.82920000000000005</v>
      </c>
      <c r="G20">
        <v>1</v>
      </c>
      <c r="H20">
        <v>0.63173000000000001</v>
      </c>
      <c r="I20">
        <v>0.16667000000000001</v>
      </c>
    </row>
    <row r="21" spans="1:9" x14ac:dyDescent="0.2">
      <c r="A21" t="s">
        <v>20</v>
      </c>
      <c r="B21">
        <v>4</v>
      </c>
      <c r="C21">
        <v>0.17324000000000001</v>
      </c>
      <c r="D21">
        <v>1</v>
      </c>
      <c r="E21">
        <v>0.16241</v>
      </c>
      <c r="F21">
        <v>0.78939999999999999</v>
      </c>
      <c r="G21">
        <v>1</v>
      </c>
      <c r="H21">
        <v>0.64007000000000003</v>
      </c>
      <c r="I21">
        <v>0.66666999999999998</v>
      </c>
    </row>
    <row r="22" spans="1:9" x14ac:dyDescent="0.2">
      <c r="A22" t="s">
        <v>44</v>
      </c>
      <c r="B22">
        <v>17</v>
      </c>
      <c r="C22">
        <v>0.73628000000000005</v>
      </c>
      <c r="D22">
        <v>2</v>
      </c>
      <c r="E22">
        <v>0.16594</v>
      </c>
      <c r="F22">
        <v>0.78003999999999996</v>
      </c>
      <c r="G22">
        <v>1</v>
      </c>
      <c r="H22">
        <v>0.64007000000000003</v>
      </c>
      <c r="I22">
        <v>0.375</v>
      </c>
    </row>
    <row r="23" spans="1:9" x14ac:dyDescent="0.2">
      <c r="A23" t="s">
        <v>42</v>
      </c>
      <c r="B23">
        <v>35</v>
      </c>
      <c r="C23">
        <v>1.5159</v>
      </c>
      <c r="D23">
        <v>3</v>
      </c>
      <c r="E23">
        <v>0.19133</v>
      </c>
      <c r="F23">
        <v>0.71821000000000002</v>
      </c>
      <c r="G23">
        <v>1</v>
      </c>
      <c r="H23">
        <v>0.70445000000000002</v>
      </c>
      <c r="I23">
        <v>0.23529</v>
      </c>
    </row>
    <row r="24" spans="1:9" x14ac:dyDescent="0.2">
      <c r="A24" t="s">
        <v>46</v>
      </c>
      <c r="B24">
        <v>21</v>
      </c>
      <c r="C24">
        <v>0.90952</v>
      </c>
      <c r="D24">
        <v>2</v>
      </c>
      <c r="E24">
        <v>0.22997000000000001</v>
      </c>
      <c r="F24">
        <v>0.63834000000000002</v>
      </c>
      <c r="G24">
        <v>1</v>
      </c>
      <c r="H24">
        <v>0.80988000000000004</v>
      </c>
      <c r="I24">
        <v>0.15</v>
      </c>
    </row>
    <row r="25" spans="1:9" x14ac:dyDescent="0.2">
      <c r="A25" t="s">
        <v>85</v>
      </c>
      <c r="B25">
        <v>81</v>
      </c>
      <c r="C25">
        <v>3.5081000000000002</v>
      </c>
      <c r="D25">
        <v>5</v>
      </c>
      <c r="E25">
        <v>0.27211999999999997</v>
      </c>
      <c r="F25">
        <v>0.56523999999999996</v>
      </c>
      <c r="G25">
        <v>1</v>
      </c>
      <c r="H25">
        <v>0.91840999999999995</v>
      </c>
      <c r="I25">
        <v>0.17499999999999999</v>
      </c>
    </row>
    <row r="26" spans="1:9" x14ac:dyDescent="0.2">
      <c r="A26" t="s">
        <v>48</v>
      </c>
      <c r="B26">
        <v>72</v>
      </c>
      <c r="C26">
        <v>3.1183999999999998</v>
      </c>
      <c r="D26">
        <v>4</v>
      </c>
      <c r="E26">
        <v>0.38007999999999997</v>
      </c>
      <c r="F26">
        <v>0.42013</v>
      </c>
      <c r="G26">
        <v>1</v>
      </c>
      <c r="H26">
        <v>1</v>
      </c>
      <c r="I26">
        <v>0.19717999999999999</v>
      </c>
    </row>
    <row r="27" spans="1:9" x14ac:dyDescent="0.2">
      <c r="A27" t="s">
        <v>62</v>
      </c>
      <c r="B27">
        <v>11</v>
      </c>
      <c r="C27">
        <v>0.47642000000000001</v>
      </c>
      <c r="D27">
        <v>1</v>
      </c>
      <c r="E27">
        <v>0.38622000000000001</v>
      </c>
      <c r="F27">
        <v>0.41316999999999998</v>
      </c>
      <c r="G27">
        <v>1</v>
      </c>
      <c r="H27">
        <v>1</v>
      </c>
      <c r="I27">
        <v>0.5</v>
      </c>
    </row>
    <row r="28" spans="1:9" x14ac:dyDescent="0.2">
      <c r="A28" t="s">
        <v>87</v>
      </c>
      <c r="B28">
        <v>54</v>
      </c>
      <c r="C28">
        <v>2.3388</v>
      </c>
      <c r="D28">
        <v>3</v>
      </c>
      <c r="E28">
        <v>0.41710999999999998</v>
      </c>
      <c r="F28">
        <v>0.37974999999999998</v>
      </c>
      <c r="G28">
        <v>1</v>
      </c>
      <c r="H28">
        <v>1</v>
      </c>
      <c r="I28">
        <v>0.16980999999999999</v>
      </c>
    </row>
    <row r="29" spans="1:9" x14ac:dyDescent="0.2">
      <c r="A29" t="s">
        <v>117</v>
      </c>
      <c r="B29">
        <v>14</v>
      </c>
      <c r="C29">
        <v>0.60634999999999994</v>
      </c>
      <c r="D29">
        <v>1</v>
      </c>
      <c r="E29">
        <v>0.46294000000000002</v>
      </c>
      <c r="F29">
        <v>0.33448</v>
      </c>
      <c r="G29">
        <v>1</v>
      </c>
      <c r="H29">
        <v>1</v>
      </c>
      <c r="I29">
        <v>0.15384999999999999</v>
      </c>
    </row>
    <row r="30" spans="1:9" x14ac:dyDescent="0.2">
      <c r="A30" t="s">
        <v>60</v>
      </c>
      <c r="B30">
        <v>60</v>
      </c>
      <c r="C30">
        <v>2.5985999999999998</v>
      </c>
      <c r="D30">
        <v>3</v>
      </c>
      <c r="E30">
        <v>0.48641000000000001</v>
      </c>
      <c r="F30">
        <v>0.313</v>
      </c>
      <c r="G30">
        <v>1</v>
      </c>
      <c r="H30">
        <v>1</v>
      </c>
      <c r="I30">
        <v>0.22034000000000001</v>
      </c>
    </row>
    <row r="31" spans="1:9" x14ac:dyDescent="0.2">
      <c r="A31" t="s">
        <v>69</v>
      </c>
      <c r="B31">
        <v>40</v>
      </c>
      <c r="C31">
        <v>1.7323999999999999</v>
      </c>
      <c r="D31">
        <v>2</v>
      </c>
      <c r="E31">
        <v>0.52359999999999995</v>
      </c>
      <c r="F31">
        <v>0.28100000000000003</v>
      </c>
      <c r="G31">
        <v>1</v>
      </c>
      <c r="H31">
        <v>1</v>
      </c>
      <c r="I31">
        <v>0.23077</v>
      </c>
    </row>
    <row r="32" spans="1:9" x14ac:dyDescent="0.2">
      <c r="A32" t="s">
        <v>64</v>
      </c>
      <c r="B32">
        <v>88</v>
      </c>
      <c r="C32">
        <v>3.8113000000000001</v>
      </c>
      <c r="D32">
        <v>4</v>
      </c>
      <c r="E32">
        <v>0.53559000000000001</v>
      </c>
      <c r="F32">
        <v>0.27117000000000002</v>
      </c>
      <c r="G32">
        <v>1</v>
      </c>
      <c r="H32">
        <v>1</v>
      </c>
      <c r="I32">
        <v>0.16092000000000001</v>
      </c>
    </row>
    <row r="33" spans="1:9" x14ac:dyDescent="0.2">
      <c r="A33" t="s">
        <v>118</v>
      </c>
      <c r="B33">
        <v>41</v>
      </c>
      <c r="C33">
        <v>1.7757000000000001</v>
      </c>
      <c r="D33">
        <v>2</v>
      </c>
      <c r="E33">
        <v>0.53707000000000005</v>
      </c>
      <c r="F33">
        <v>0.26996999999999999</v>
      </c>
      <c r="G33">
        <v>1</v>
      </c>
      <c r="H33">
        <v>1</v>
      </c>
      <c r="I33">
        <v>0.05</v>
      </c>
    </row>
    <row r="34" spans="1:9" x14ac:dyDescent="0.2">
      <c r="A34" t="s">
        <v>79</v>
      </c>
      <c r="B34">
        <v>18</v>
      </c>
      <c r="C34">
        <v>0.77959000000000001</v>
      </c>
      <c r="D34">
        <v>1</v>
      </c>
      <c r="E34">
        <v>0.55064999999999997</v>
      </c>
      <c r="F34">
        <v>0.25912000000000002</v>
      </c>
      <c r="G34">
        <v>1</v>
      </c>
      <c r="H34">
        <v>1</v>
      </c>
      <c r="I34">
        <v>0.11765</v>
      </c>
    </row>
    <row r="35" spans="1:9" x14ac:dyDescent="0.2">
      <c r="A35" t="s">
        <v>77</v>
      </c>
      <c r="B35">
        <v>46</v>
      </c>
      <c r="C35">
        <v>1.9923</v>
      </c>
      <c r="D35">
        <v>2</v>
      </c>
      <c r="E35">
        <v>0.60050000000000003</v>
      </c>
      <c r="F35">
        <v>0.22148999999999999</v>
      </c>
      <c r="G35">
        <v>1</v>
      </c>
      <c r="H35">
        <v>1</v>
      </c>
      <c r="I35">
        <v>0.15556</v>
      </c>
    </row>
    <row r="36" spans="1:9" x14ac:dyDescent="0.2">
      <c r="A36" t="s">
        <v>75</v>
      </c>
      <c r="B36">
        <v>72</v>
      </c>
      <c r="C36">
        <v>3.1183999999999998</v>
      </c>
      <c r="D36">
        <v>3</v>
      </c>
      <c r="E36">
        <v>0.61182999999999998</v>
      </c>
      <c r="F36">
        <v>0.21337</v>
      </c>
      <c r="G36">
        <v>1</v>
      </c>
      <c r="H36">
        <v>1</v>
      </c>
      <c r="I36">
        <v>8.4506999999999999E-2</v>
      </c>
    </row>
    <row r="37" spans="1:9" x14ac:dyDescent="0.2">
      <c r="A37" t="s">
        <v>83</v>
      </c>
      <c r="B37">
        <v>48</v>
      </c>
      <c r="C37">
        <v>2.0789</v>
      </c>
      <c r="D37">
        <v>2</v>
      </c>
      <c r="E37">
        <v>0.624</v>
      </c>
      <c r="F37">
        <v>0.20482</v>
      </c>
      <c r="G37">
        <v>1</v>
      </c>
      <c r="H37">
        <v>1</v>
      </c>
      <c r="I37">
        <v>4.2553000000000001E-2</v>
      </c>
    </row>
    <row r="38" spans="1:9" x14ac:dyDescent="0.2">
      <c r="A38" t="s">
        <v>102</v>
      </c>
      <c r="B38">
        <v>49</v>
      </c>
      <c r="C38">
        <v>2.1221999999999999</v>
      </c>
      <c r="D38">
        <v>2</v>
      </c>
      <c r="E38">
        <v>0.63534999999999997</v>
      </c>
      <c r="F38">
        <v>0.19699</v>
      </c>
      <c r="G38">
        <v>1</v>
      </c>
      <c r="H38">
        <v>1</v>
      </c>
      <c r="I38">
        <v>8.3333000000000004E-2</v>
      </c>
    </row>
    <row r="39" spans="1:9" x14ac:dyDescent="0.2">
      <c r="A39" t="s">
        <v>52</v>
      </c>
      <c r="B39">
        <v>50</v>
      </c>
      <c r="C39">
        <v>2.1655000000000002</v>
      </c>
      <c r="D39">
        <v>2</v>
      </c>
      <c r="E39">
        <v>0.64642999999999995</v>
      </c>
      <c r="F39">
        <v>0.18948000000000001</v>
      </c>
      <c r="G39">
        <v>1</v>
      </c>
      <c r="H39">
        <v>1</v>
      </c>
      <c r="I39">
        <v>8.1632999999999997E-2</v>
      </c>
    </row>
    <row r="40" spans="1:9" x14ac:dyDescent="0.2">
      <c r="A40" t="s">
        <v>81</v>
      </c>
      <c r="B40">
        <v>107</v>
      </c>
      <c r="C40">
        <v>4.6341999999999999</v>
      </c>
      <c r="D40">
        <v>4</v>
      </c>
      <c r="E40">
        <v>0.69179999999999997</v>
      </c>
      <c r="F40">
        <v>0.16002</v>
      </c>
      <c r="G40">
        <v>1</v>
      </c>
      <c r="H40">
        <v>1</v>
      </c>
      <c r="I40">
        <v>0.25472</v>
      </c>
    </row>
    <row r="41" spans="1:9" x14ac:dyDescent="0.2">
      <c r="A41" t="s">
        <v>100</v>
      </c>
      <c r="B41">
        <v>87</v>
      </c>
      <c r="C41">
        <v>3.7679999999999998</v>
      </c>
      <c r="D41">
        <v>3</v>
      </c>
      <c r="E41">
        <v>0.73773999999999995</v>
      </c>
      <c r="F41">
        <v>0.13209000000000001</v>
      </c>
      <c r="G41">
        <v>1</v>
      </c>
      <c r="H41">
        <v>1</v>
      </c>
      <c r="I41">
        <v>0.10465000000000001</v>
      </c>
    </row>
    <row r="42" spans="1:9" x14ac:dyDescent="0.2">
      <c r="A42" t="s">
        <v>95</v>
      </c>
      <c r="B42">
        <v>34</v>
      </c>
      <c r="C42">
        <v>1.4725999999999999</v>
      </c>
      <c r="D42">
        <v>1</v>
      </c>
      <c r="E42">
        <v>0.78049999999999997</v>
      </c>
      <c r="F42">
        <v>0.10763</v>
      </c>
      <c r="G42">
        <v>1</v>
      </c>
      <c r="H42">
        <v>1</v>
      </c>
      <c r="I42">
        <v>6.0606E-2</v>
      </c>
    </row>
    <row r="43" spans="1:9" x14ac:dyDescent="0.2">
      <c r="A43" t="s">
        <v>89</v>
      </c>
      <c r="B43">
        <v>121</v>
      </c>
      <c r="C43">
        <v>5.2405999999999997</v>
      </c>
      <c r="D43">
        <v>4</v>
      </c>
      <c r="E43">
        <v>0.78090000000000004</v>
      </c>
      <c r="F43">
        <v>0.1074</v>
      </c>
      <c r="G43">
        <v>1</v>
      </c>
      <c r="H43">
        <v>1</v>
      </c>
      <c r="I43">
        <v>0.05</v>
      </c>
    </row>
    <row r="44" spans="1:9" x14ac:dyDescent="0.2">
      <c r="A44" t="s">
        <v>96</v>
      </c>
      <c r="B44">
        <v>36</v>
      </c>
      <c r="C44">
        <v>1.5591999999999999</v>
      </c>
      <c r="D44">
        <v>1</v>
      </c>
      <c r="E44">
        <v>0.79937000000000002</v>
      </c>
      <c r="F44">
        <v>9.7251000000000004E-2</v>
      </c>
      <c r="G44">
        <v>1</v>
      </c>
      <c r="H44">
        <v>1</v>
      </c>
      <c r="I44">
        <v>5.7142999999999999E-2</v>
      </c>
    </row>
    <row r="45" spans="1:9" x14ac:dyDescent="0.2">
      <c r="A45" t="s">
        <v>98</v>
      </c>
      <c r="B45">
        <v>36</v>
      </c>
      <c r="C45">
        <v>1.5591999999999999</v>
      </c>
      <c r="D45">
        <v>1</v>
      </c>
      <c r="E45">
        <v>0.79937000000000002</v>
      </c>
      <c r="F45">
        <v>9.7251000000000004E-2</v>
      </c>
      <c r="G45">
        <v>1</v>
      </c>
      <c r="H45">
        <v>1</v>
      </c>
      <c r="I45">
        <v>8.5713999999999999E-2</v>
      </c>
    </row>
    <row r="46" spans="1:9" x14ac:dyDescent="0.2">
      <c r="A46" t="s">
        <v>66</v>
      </c>
      <c r="B46">
        <v>39</v>
      </c>
      <c r="C46">
        <v>1.6891</v>
      </c>
      <c r="D46">
        <v>1</v>
      </c>
      <c r="E46">
        <v>0.82471000000000005</v>
      </c>
      <c r="F46">
        <v>8.3697999999999995E-2</v>
      </c>
      <c r="G46">
        <v>1</v>
      </c>
      <c r="H46">
        <v>1</v>
      </c>
      <c r="I46">
        <v>0.28947000000000001</v>
      </c>
    </row>
    <row r="47" spans="1:9" x14ac:dyDescent="0.2">
      <c r="A47" t="s">
        <v>71</v>
      </c>
      <c r="B47">
        <v>40</v>
      </c>
      <c r="C47">
        <v>1.7323999999999999</v>
      </c>
      <c r="D47">
        <v>1</v>
      </c>
      <c r="E47">
        <v>0.83243</v>
      </c>
      <c r="F47">
        <v>7.9651E-2</v>
      </c>
      <c r="G47">
        <v>1</v>
      </c>
      <c r="H47">
        <v>1</v>
      </c>
      <c r="I47">
        <v>2.5641000000000001E-2</v>
      </c>
    </row>
    <row r="48" spans="1:9" x14ac:dyDescent="0.2">
      <c r="A48" t="s">
        <v>104</v>
      </c>
      <c r="B48">
        <v>75</v>
      </c>
      <c r="C48">
        <v>3.2483</v>
      </c>
      <c r="D48">
        <v>2</v>
      </c>
      <c r="E48">
        <v>0.84574000000000005</v>
      </c>
      <c r="F48">
        <v>7.2763999999999995E-2</v>
      </c>
      <c r="G48">
        <v>1</v>
      </c>
      <c r="H48">
        <v>1</v>
      </c>
      <c r="I48">
        <v>8.1081E-2</v>
      </c>
    </row>
    <row r="49" spans="1:9" x14ac:dyDescent="0.2">
      <c r="A49" t="s">
        <v>93</v>
      </c>
      <c r="B49">
        <v>174</v>
      </c>
      <c r="C49">
        <v>7.5359999999999996</v>
      </c>
      <c r="D49">
        <v>5</v>
      </c>
      <c r="E49">
        <v>0.88558000000000003</v>
      </c>
      <c r="F49">
        <v>5.2770999999999998E-2</v>
      </c>
      <c r="G49">
        <v>1</v>
      </c>
      <c r="H49">
        <v>1</v>
      </c>
      <c r="I49">
        <v>0.25434000000000001</v>
      </c>
    </row>
    <row r="50" spans="1:9" x14ac:dyDescent="0.2">
      <c r="A50" t="s">
        <v>119</v>
      </c>
      <c r="B50">
        <v>60</v>
      </c>
      <c r="C50">
        <v>2.5985999999999998</v>
      </c>
      <c r="D50">
        <v>1</v>
      </c>
      <c r="E50">
        <v>0.93222000000000005</v>
      </c>
      <c r="F50">
        <v>3.048E-2</v>
      </c>
      <c r="G50">
        <v>1</v>
      </c>
      <c r="H50">
        <v>1</v>
      </c>
      <c r="I50">
        <v>3.3897999999999998E-2</v>
      </c>
    </row>
    <row r="51" spans="1:9" x14ac:dyDescent="0.2">
      <c r="A51" t="s">
        <v>120</v>
      </c>
      <c r="B51">
        <v>68</v>
      </c>
      <c r="C51">
        <v>2.9451000000000001</v>
      </c>
      <c r="D51">
        <v>1</v>
      </c>
      <c r="E51">
        <v>0.95291999999999999</v>
      </c>
      <c r="F51">
        <v>2.0944000000000001E-2</v>
      </c>
      <c r="G51">
        <v>1</v>
      </c>
      <c r="H51">
        <v>1</v>
      </c>
      <c r="I51">
        <v>5.9700999999999997E-2</v>
      </c>
    </row>
    <row r="52" spans="1:9" x14ac:dyDescent="0.2">
      <c r="A52" t="s">
        <v>106</v>
      </c>
      <c r="B52">
        <v>78</v>
      </c>
      <c r="C52">
        <v>3.3782000000000001</v>
      </c>
      <c r="D52">
        <v>1</v>
      </c>
      <c r="E52">
        <v>0.97019999999999995</v>
      </c>
      <c r="F52">
        <v>1.3139E-2</v>
      </c>
      <c r="G52">
        <v>1</v>
      </c>
      <c r="H52">
        <v>1</v>
      </c>
      <c r="I52">
        <v>1.2987E-2</v>
      </c>
    </row>
    <row r="53" spans="1:9" x14ac:dyDescent="0.2">
      <c r="A53" t="s">
        <v>121</v>
      </c>
      <c r="B53">
        <v>80</v>
      </c>
      <c r="C53">
        <v>3.4647999999999999</v>
      </c>
      <c r="D53">
        <v>1</v>
      </c>
      <c r="E53">
        <v>0.97280999999999995</v>
      </c>
      <c r="F53">
        <v>1.1972E-2</v>
      </c>
      <c r="G53">
        <v>1</v>
      </c>
      <c r="H53">
        <v>1</v>
      </c>
      <c r="I53">
        <v>2.5316000000000002E-2</v>
      </c>
    </row>
    <row r="54" spans="1:9" x14ac:dyDescent="0.2">
      <c r="A54" t="s">
        <v>122</v>
      </c>
      <c r="B54">
        <v>83</v>
      </c>
      <c r="C54">
        <v>3.5948000000000002</v>
      </c>
      <c r="D54">
        <v>1</v>
      </c>
      <c r="E54">
        <v>0.97631000000000001</v>
      </c>
      <c r="F54">
        <v>1.0413E-2</v>
      </c>
      <c r="G54">
        <v>1</v>
      </c>
      <c r="H54">
        <v>1</v>
      </c>
      <c r="I54">
        <v>2.4389999999999998E-2</v>
      </c>
    </row>
    <row r="55" spans="1:9" x14ac:dyDescent="0.2">
      <c r="A55" t="s">
        <v>108</v>
      </c>
      <c r="B55">
        <v>102</v>
      </c>
      <c r="C55">
        <v>4.4177</v>
      </c>
      <c r="D55">
        <v>1</v>
      </c>
      <c r="E55">
        <v>0.99014000000000002</v>
      </c>
      <c r="F55">
        <v>4.3035E-3</v>
      </c>
      <c r="G55">
        <v>1</v>
      </c>
      <c r="H55">
        <v>1</v>
      </c>
      <c r="I55">
        <v>1.9802E-2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0A21-79B5-774C-8EF9-31472E2B80F1}">
  <dimension ref="A1:B57"/>
  <sheetViews>
    <sheetView workbookViewId="0">
      <selection activeCell="O17" sqref="O17"/>
    </sheetView>
  </sheetViews>
  <sheetFormatPr baseColWidth="10" defaultRowHeight="16" x14ac:dyDescent="0.2"/>
  <sheetData>
    <row r="1" spans="1:2" x14ac:dyDescent="0.2">
      <c r="B1" t="s">
        <v>13</v>
      </c>
    </row>
    <row r="2" spans="1:2" x14ac:dyDescent="0.2">
      <c r="A2" t="s">
        <v>22</v>
      </c>
      <c r="B2" t="s">
        <v>155</v>
      </c>
    </row>
    <row r="3" spans="1:2" x14ac:dyDescent="0.2">
      <c r="A3" t="s">
        <v>14</v>
      </c>
      <c r="B3" t="s">
        <v>124</v>
      </c>
    </row>
    <row r="4" spans="1:2" x14ac:dyDescent="0.2">
      <c r="A4" t="s">
        <v>24</v>
      </c>
      <c r="B4" t="s">
        <v>127</v>
      </c>
    </row>
    <row r="5" spans="1:2" x14ac:dyDescent="0.2">
      <c r="A5" t="s">
        <v>30</v>
      </c>
      <c r="B5" t="s">
        <v>128</v>
      </c>
    </row>
    <row r="6" spans="1:2" x14ac:dyDescent="0.2">
      <c r="A6" t="s">
        <v>16</v>
      </c>
      <c r="B6" t="s">
        <v>17</v>
      </c>
    </row>
    <row r="7" spans="1:2" x14ac:dyDescent="0.2">
      <c r="A7" t="s">
        <v>73</v>
      </c>
      <c r="B7" t="s">
        <v>156</v>
      </c>
    </row>
    <row r="8" spans="1:2" x14ac:dyDescent="0.2">
      <c r="A8" t="s">
        <v>46</v>
      </c>
      <c r="B8" t="s">
        <v>157</v>
      </c>
    </row>
    <row r="9" spans="1:2" x14ac:dyDescent="0.2">
      <c r="A9" t="s">
        <v>18</v>
      </c>
      <c r="B9" t="s">
        <v>19</v>
      </c>
    </row>
    <row r="10" spans="1:2" x14ac:dyDescent="0.2">
      <c r="A10" t="s">
        <v>48</v>
      </c>
      <c r="B10" t="s">
        <v>158</v>
      </c>
    </row>
    <row r="11" spans="1:2" x14ac:dyDescent="0.2">
      <c r="A11" t="s">
        <v>79</v>
      </c>
      <c r="B11" t="s">
        <v>159</v>
      </c>
    </row>
    <row r="12" spans="1:2" x14ac:dyDescent="0.2">
      <c r="A12" t="s">
        <v>50</v>
      </c>
      <c r="B12" t="s">
        <v>160</v>
      </c>
    </row>
    <row r="13" spans="1:2" x14ac:dyDescent="0.2">
      <c r="A13" t="s">
        <v>85</v>
      </c>
      <c r="B13" t="s">
        <v>161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36</v>
      </c>
      <c r="B15" t="s">
        <v>162</v>
      </c>
    </row>
    <row r="16" spans="1:2" x14ac:dyDescent="0.2">
      <c r="A16" t="s">
        <v>34</v>
      </c>
      <c r="B16" t="s">
        <v>35</v>
      </c>
    </row>
    <row r="17" spans="1:2" x14ac:dyDescent="0.2">
      <c r="A17" t="s">
        <v>40</v>
      </c>
      <c r="B17" t="s">
        <v>41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38</v>
      </c>
      <c r="B19" t="s">
        <v>39</v>
      </c>
    </row>
    <row r="20" spans="1:2" x14ac:dyDescent="0.2">
      <c r="A20" t="s">
        <v>20</v>
      </c>
      <c r="B20" t="s">
        <v>137</v>
      </c>
    </row>
    <row r="21" spans="1:2" x14ac:dyDescent="0.2">
      <c r="A21" t="s">
        <v>163</v>
      </c>
      <c r="B21" t="s">
        <v>164</v>
      </c>
    </row>
    <row r="22" spans="1:2" x14ac:dyDescent="0.2">
      <c r="A22" t="s">
        <v>44</v>
      </c>
      <c r="B22" t="s">
        <v>45</v>
      </c>
    </row>
    <row r="23" spans="1:2" x14ac:dyDescent="0.2">
      <c r="A23" t="s">
        <v>64</v>
      </c>
      <c r="B23" t="s">
        <v>165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67</v>
      </c>
      <c r="B25" t="s">
        <v>166</v>
      </c>
    </row>
    <row r="26" spans="1:2" x14ac:dyDescent="0.2">
      <c r="A26" t="s">
        <v>56</v>
      </c>
      <c r="B26" t="s">
        <v>167</v>
      </c>
    </row>
    <row r="27" spans="1:2" x14ac:dyDescent="0.2">
      <c r="A27" t="s">
        <v>168</v>
      </c>
      <c r="B27" t="s">
        <v>169</v>
      </c>
    </row>
    <row r="28" spans="1:2" x14ac:dyDescent="0.2">
      <c r="A28" t="s">
        <v>83</v>
      </c>
      <c r="B28" t="s">
        <v>170</v>
      </c>
    </row>
    <row r="29" spans="1:2" x14ac:dyDescent="0.2">
      <c r="A29" t="s">
        <v>102</v>
      </c>
      <c r="B29" t="s">
        <v>171</v>
      </c>
    </row>
    <row r="30" spans="1:2" x14ac:dyDescent="0.2">
      <c r="A30" t="s">
        <v>62</v>
      </c>
      <c r="B30" t="s">
        <v>63</v>
      </c>
    </row>
    <row r="31" spans="1:2" x14ac:dyDescent="0.2">
      <c r="A31" t="s">
        <v>75</v>
      </c>
      <c r="B31" t="s">
        <v>172</v>
      </c>
    </row>
    <row r="32" spans="1:2" x14ac:dyDescent="0.2">
      <c r="A32" t="s">
        <v>28</v>
      </c>
      <c r="B32" t="s">
        <v>173</v>
      </c>
    </row>
    <row r="33" spans="1:2" x14ac:dyDescent="0.2">
      <c r="A33" t="s">
        <v>87</v>
      </c>
      <c r="B33" t="s">
        <v>139</v>
      </c>
    </row>
    <row r="34" spans="1:2" x14ac:dyDescent="0.2">
      <c r="A34" t="s">
        <v>95</v>
      </c>
      <c r="B34" t="s">
        <v>174</v>
      </c>
    </row>
    <row r="35" spans="1:2" x14ac:dyDescent="0.2">
      <c r="A35" t="s">
        <v>58</v>
      </c>
      <c r="B35" t="s">
        <v>59</v>
      </c>
    </row>
    <row r="36" spans="1:2" x14ac:dyDescent="0.2">
      <c r="A36" t="s">
        <v>121</v>
      </c>
      <c r="B36" t="s">
        <v>175</v>
      </c>
    </row>
    <row r="37" spans="1:2" x14ac:dyDescent="0.2">
      <c r="A37" t="s">
        <v>60</v>
      </c>
      <c r="B37" t="s">
        <v>176</v>
      </c>
    </row>
    <row r="38" spans="1:2" x14ac:dyDescent="0.2">
      <c r="A38" t="s">
        <v>93</v>
      </c>
      <c r="B38" t="s">
        <v>177</v>
      </c>
    </row>
    <row r="39" spans="1:2" x14ac:dyDescent="0.2">
      <c r="A39" t="s">
        <v>66</v>
      </c>
      <c r="B39" t="s">
        <v>178</v>
      </c>
    </row>
    <row r="40" spans="1:2" x14ac:dyDescent="0.2">
      <c r="A40" t="s">
        <v>71</v>
      </c>
      <c r="B40" t="s">
        <v>179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52</v>
      </c>
      <c r="B42" t="s">
        <v>145</v>
      </c>
    </row>
    <row r="43" spans="1:2" x14ac:dyDescent="0.2">
      <c r="A43" t="s">
        <v>54</v>
      </c>
      <c r="B43" t="s">
        <v>180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181</v>
      </c>
      <c r="B45" t="s">
        <v>182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96</v>
      </c>
      <c r="B47" t="s">
        <v>97</v>
      </c>
    </row>
    <row r="48" spans="1:2" x14ac:dyDescent="0.2">
      <c r="A48" t="s">
        <v>98</v>
      </c>
      <c r="B48" t="s">
        <v>99</v>
      </c>
    </row>
    <row r="49" spans="1:2" x14ac:dyDescent="0.2">
      <c r="A49" t="s">
        <v>69</v>
      </c>
      <c r="B49" t="s">
        <v>183</v>
      </c>
    </row>
    <row r="50" spans="1:2" x14ac:dyDescent="0.2">
      <c r="A50" t="s">
        <v>184</v>
      </c>
      <c r="B50" t="s">
        <v>185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186</v>
      </c>
      <c r="B52" t="s">
        <v>187</v>
      </c>
    </row>
    <row r="53" spans="1:2" x14ac:dyDescent="0.2">
      <c r="A53" t="s">
        <v>108</v>
      </c>
      <c r="B53" t="s">
        <v>188</v>
      </c>
    </row>
    <row r="54" spans="1:2" x14ac:dyDescent="0.2">
      <c r="A54" t="s">
        <v>120</v>
      </c>
      <c r="B54" t="s">
        <v>189</v>
      </c>
    </row>
    <row r="55" spans="1:2" x14ac:dyDescent="0.2">
      <c r="A55" t="s">
        <v>104</v>
      </c>
      <c r="B55" t="s">
        <v>105</v>
      </c>
    </row>
    <row r="56" spans="1:2" x14ac:dyDescent="0.2">
      <c r="A56" t="s">
        <v>106</v>
      </c>
      <c r="B56" t="s">
        <v>107</v>
      </c>
    </row>
    <row r="57" spans="1:2" x14ac:dyDescent="0.2">
      <c r="A57" t="s">
        <v>91</v>
      </c>
      <c r="B57" t="s">
        <v>190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BBDD-EE8E-D748-A4C5-56A79011FA6A}">
  <dimension ref="A1:I57"/>
  <sheetViews>
    <sheetView workbookViewId="0">
      <selection activeCell="M14" sqref="M14"/>
    </sheetView>
  </sheetViews>
  <sheetFormatPr baseColWidth="10" defaultRowHeight="16" x14ac:dyDescent="0.2"/>
  <sheetData>
    <row r="1" spans="1:9" x14ac:dyDescent="0.2">
      <c r="B1" t="s">
        <v>109</v>
      </c>
      <c r="C1" t="s">
        <v>110</v>
      </c>
      <c r="D1" t="s">
        <v>111</v>
      </c>
      <c r="E1" t="s">
        <v>112</v>
      </c>
      <c r="F1" t="e">
        <f>-LOG10(p)</f>
        <v>#NAME?</v>
      </c>
      <c r="G1" t="s">
        <v>113</v>
      </c>
      <c r="H1" t="s">
        <v>114</v>
      </c>
      <c r="I1" t="s">
        <v>115</v>
      </c>
    </row>
    <row r="2" spans="1:9" x14ac:dyDescent="0.2">
      <c r="A2" t="s">
        <v>22</v>
      </c>
      <c r="B2">
        <v>42</v>
      </c>
      <c r="C2">
        <v>1.8731</v>
      </c>
      <c r="D2">
        <v>9</v>
      </c>
      <c r="E2" s="4" t="s">
        <v>191</v>
      </c>
      <c r="F2">
        <v>4.1920999999999999</v>
      </c>
      <c r="G2">
        <v>5.2042E-3</v>
      </c>
      <c r="H2">
        <v>5.2042E-3</v>
      </c>
      <c r="I2">
        <v>1</v>
      </c>
    </row>
    <row r="3" spans="1:9" x14ac:dyDescent="0.2">
      <c r="A3" t="s">
        <v>14</v>
      </c>
      <c r="B3">
        <v>56</v>
      </c>
      <c r="C3">
        <v>2.4973999999999998</v>
      </c>
      <c r="D3">
        <v>8</v>
      </c>
      <c r="E3">
        <v>2.8527000000000001E-3</v>
      </c>
      <c r="F3">
        <v>2.5447000000000002</v>
      </c>
      <c r="G3">
        <v>0.22822000000000001</v>
      </c>
      <c r="H3">
        <v>0.11552999999999999</v>
      </c>
      <c r="I3">
        <v>0.41818</v>
      </c>
    </row>
    <row r="4" spans="1:9" x14ac:dyDescent="0.2">
      <c r="A4" t="s">
        <v>24</v>
      </c>
      <c r="B4">
        <v>28</v>
      </c>
      <c r="C4">
        <v>1.2486999999999999</v>
      </c>
      <c r="D4">
        <v>5</v>
      </c>
      <c r="E4">
        <v>6.9335000000000004E-3</v>
      </c>
      <c r="F4">
        <v>2.1589999999999998</v>
      </c>
      <c r="G4">
        <v>0.54774999999999996</v>
      </c>
      <c r="H4">
        <v>0.14304</v>
      </c>
      <c r="I4">
        <v>0.44444</v>
      </c>
    </row>
    <row r="5" spans="1:9" x14ac:dyDescent="0.2">
      <c r="A5" t="s">
        <v>30</v>
      </c>
      <c r="B5">
        <v>10</v>
      </c>
      <c r="C5">
        <v>0.44596999999999998</v>
      </c>
      <c r="D5">
        <v>3</v>
      </c>
      <c r="E5">
        <v>8.2243000000000004E-3</v>
      </c>
      <c r="F5">
        <v>2.0849000000000002</v>
      </c>
      <c r="G5">
        <v>0.64149</v>
      </c>
      <c r="H5">
        <v>0.14304</v>
      </c>
      <c r="I5">
        <v>0.55556000000000005</v>
      </c>
    </row>
    <row r="6" spans="1:9" x14ac:dyDescent="0.2">
      <c r="A6" t="s">
        <v>16</v>
      </c>
      <c r="B6">
        <v>56</v>
      </c>
      <c r="C6">
        <v>2.4973999999999998</v>
      </c>
      <c r="D6">
        <v>7</v>
      </c>
      <c r="E6">
        <v>1.0947999999999999E-2</v>
      </c>
      <c r="F6">
        <v>1.9607000000000001</v>
      </c>
      <c r="G6">
        <v>0.84297999999999995</v>
      </c>
      <c r="H6">
        <v>0.14304</v>
      </c>
      <c r="I6">
        <v>0.52727000000000002</v>
      </c>
    </row>
    <row r="7" spans="1:9" x14ac:dyDescent="0.2">
      <c r="A7" t="s">
        <v>73</v>
      </c>
      <c r="B7">
        <v>70</v>
      </c>
      <c r="C7">
        <v>3.1217999999999999</v>
      </c>
      <c r="D7">
        <v>8</v>
      </c>
      <c r="E7">
        <v>1.1296E-2</v>
      </c>
      <c r="F7">
        <v>1.9471000000000001</v>
      </c>
      <c r="G7">
        <v>0.85851999999999995</v>
      </c>
      <c r="H7">
        <v>0.14304</v>
      </c>
      <c r="I7">
        <v>0.23188</v>
      </c>
    </row>
    <row r="8" spans="1:9" x14ac:dyDescent="0.2">
      <c r="A8" t="s">
        <v>46</v>
      </c>
      <c r="B8">
        <v>21</v>
      </c>
      <c r="C8">
        <v>0.93654000000000004</v>
      </c>
      <c r="D8">
        <v>4</v>
      </c>
      <c r="E8">
        <v>1.2428E-2</v>
      </c>
      <c r="F8">
        <v>1.9056</v>
      </c>
      <c r="G8">
        <v>0.93210999999999999</v>
      </c>
      <c r="H8">
        <v>0.14304</v>
      </c>
      <c r="I8">
        <v>0.95</v>
      </c>
    </row>
    <row r="9" spans="1:9" x14ac:dyDescent="0.2">
      <c r="A9" t="s">
        <v>18</v>
      </c>
      <c r="B9">
        <v>12</v>
      </c>
      <c r="C9">
        <v>0.53515999999999997</v>
      </c>
      <c r="D9">
        <v>3</v>
      </c>
      <c r="E9">
        <v>1.4127000000000001E-2</v>
      </c>
      <c r="F9">
        <v>1.85</v>
      </c>
      <c r="G9">
        <v>1</v>
      </c>
      <c r="H9">
        <v>0.14304</v>
      </c>
      <c r="I9">
        <v>0.27272999999999997</v>
      </c>
    </row>
    <row r="10" spans="1:9" x14ac:dyDescent="0.2">
      <c r="A10" t="s">
        <v>48</v>
      </c>
      <c r="B10">
        <v>72</v>
      </c>
      <c r="C10">
        <v>3.2109999999999999</v>
      </c>
      <c r="D10">
        <v>7</v>
      </c>
      <c r="E10">
        <v>3.8857999999999997E-2</v>
      </c>
      <c r="F10">
        <v>1.4105000000000001</v>
      </c>
      <c r="G10">
        <v>1</v>
      </c>
      <c r="H10">
        <v>0.34967999999999999</v>
      </c>
      <c r="I10">
        <v>0.36620000000000003</v>
      </c>
    </row>
    <row r="11" spans="1:9" x14ac:dyDescent="0.2">
      <c r="A11" t="s">
        <v>79</v>
      </c>
      <c r="B11">
        <v>18</v>
      </c>
      <c r="C11">
        <v>0.80274000000000001</v>
      </c>
      <c r="D11">
        <v>3</v>
      </c>
      <c r="E11">
        <v>4.317E-2</v>
      </c>
      <c r="F11">
        <v>1.3648</v>
      </c>
      <c r="G11">
        <v>1</v>
      </c>
      <c r="H11">
        <v>0.34967999999999999</v>
      </c>
      <c r="I11">
        <v>0.35293999999999998</v>
      </c>
    </row>
    <row r="12" spans="1:9" x14ac:dyDescent="0.2">
      <c r="A12" t="s">
        <v>50</v>
      </c>
      <c r="B12">
        <v>48</v>
      </c>
      <c r="C12">
        <v>2.1406999999999998</v>
      </c>
      <c r="D12">
        <v>5</v>
      </c>
      <c r="E12">
        <v>5.9891E-2</v>
      </c>
      <c r="F12">
        <v>1.2225999999999999</v>
      </c>
      <c r="G12">
        <v>1</v>
      </c>
      <c r="H12">
        <v>0.42154000000000003</v>
      </c>
      <c r="I12">
        <v>0.51063999999999998</v>
      </c>
    </row>
    <row r="13" spans="1:9" x14ac:dyDescent="0.2">
      <c r="A13" t="s">
        <v>85</v>
      </c>
      <c r="B13">
        <v>81</v>
      </c>
      <c r="C13">
        <v>3.6122999999999998</v>
      </c>
      <c r="D13">
        <v>7</v>
      </c>
      <c r="E13">
        <v>6.6288E-2</v>
      </c>
      <c r="F13">
        <v>1.1786000000000001</v>
      </c>
      <c r="G13">
        <v>1</v>
      </c>
      <c r="H13">
        <v>0.42154000000000003</v>
      </c>
      <c r="I13">
        <v>0.35</v>
      </c>
    </row>
    <row r="14" spans="1:9" x14ac:dyDescent="0.2">
      <c r="A14" t="s">
        <v>26</v>
      </c>
      <c r="B14">
        <v>35</v>
      </c>
      <c r="C14">
        <v>1.5609</v>
      </c>
      <c r="D14">
        <v>4</v>
      </c>
      <c r="E14">
        <v>6.7655000000000007E-2</v>
      </c>
      <c r="F14">
        <v>1.1697</v>
      </c>
      <c r="G14">
        <v>1</v>
      </c>
      <c r="H14">
        <v>0.42154000000000003</v>
      </c>
      <c r="I14">
        <v>0.20588000000000001</v>
      </c>
    </row>
    <row r="15" spans="1:9" x14ac:dyDescent="0.2">
      <c r="A15" t="s">
        <v>36</v>
      </c>
      <c r="B15">
        <v>92</v>
      </c>
      <c r="C15">
        <v>4.1029</v>
      </c>
      <c r="D15">
        <v>7</v>
      </c>
      <c r="E15">
        <v>0.11262</v>
      </c>
      <c r="F15">
        <v>0.94837000000000005</v>
      </c>
      <c r="G15">
        <v>1</v>
      </c>
      <c r="H15">
        <v>0.65161000000000002</v>
      </c>
      <c r="I15">
        <v>0.29670000000000002</v>
      </c>
    </row>
    <row r="16" spans="1:9" x14ac:dyDescent="0.2">
      <c r="A16" t="s">
        <v>34</v>
      </c>
      <c r="B16">
        <v>29</v>
      </c>
      <c r="C16">
        <v>1.2932999999999999</v>
      </c>
      <c r="D16">
        <v>3</v>
      </c>
      <c r="E16">
        <v>0.13647000000000001</v>
      </c>
      <c r="F16">
        <v>0.86495999999999995</v>
      </c>
      <c r="G16">
        <v>1</v>
      </c>
      <c r="H16">
        <v>0.67039000000000004</v>
      </c>
      <c r="I16">
        <v>0.10714</v>
      </c>
    </row>
    <row r="17" spans="1:9" x14ac:dyDescent="0.2">
      <c r="A17" t="s">
        <v>40</v>
      </c>
      <c r="B17">
        <v>15</v>
      </c>
      <c r="C17">
        <v>0.66895000000000004</v>
      </c>
      <c r="D17">
        <v>2</v>
      </c>
      <c r="E17">
        <v>0.14196</v>
      </c>
      <c r="F17">
        <v>0.84782999999999997</v>
      </c>
      <c r="G17">
        <v>1</v>
      </c>
      <c r="H17">
        <v>0.67039000000000004</v>
      </c>
      <c r="I17">
        <v>0.5</v>
      </c>
    </row>
    <row r="18" spans="1:9" x14ac:dyDescent="0.2">
      <c r="A18" t="s">
        <v>32</v>
      </c>
      <c r="B18">
        <v>46</v>
      </c>
      <c r="C18">
        <v>2.0514999999999999</v>
      </c>
      <c r="D18">
        <v>4</v>
      </c>
      <c r="E18">
        <v>0.14635000000000001</v>
      </c>
      <c r="F18">
        <v>0.83460000000000001</v>
      </c>
      <c r="G18">
        <v>1</v>
      </c>
      <c r="H18">
        <v>0.67039000000000004</v>
      </c>
      <c r="I18">
        <v>8.8888999999999996E-2</v>
      </c>
    </row>
    <row r="19" spans="1:9" x14ac:dyDescent="0.2">
      <c r="A19" t="s">
        <v>38</v>
      </c>
      <c r="B19">
        <v>31</v>
      </c>
      <c r="C19">
        <v>1.3825000000000001</v>
      </c>
      <c r="D19">
        <v>3</v>
      </c>
      <c r="E19">
        <v>0.15773999999999999</v>
      </c>
      <c r="F19">
        <v>0.80205000000000004</v>
      </c>
      <c r="G19">
        <v>1</v>
      </c>
      <c r="H19">
        <v>0.67039000000000004</v>
      </c>
      <c r="I19">
        <v>0.16667000000000001</v>
      </c>
    </row>
    <row r="20" spans="1:9" x14ac:dyDescent="0.2">
      <c r="A20" t="s">
        <v>20</v>
      </c>
      <c r="B20">
        <v>4</v>
      </c>
      <c r="C20">
        <v>0.17838999999999999</v>
      </c>
      <c r="D20">
        <v>1</v>
      </c>
      <c r="E20">
        <v>0.16691</v>
      </c>
      <c r="F20">
        <v>0.77753000000000005</v>
      </c>
      <c r="G20">
        <v>1</v>
      </c>
      <c r="H20">
        <v>0.67039000000000004</v>
      </c>
      <c r="I20">
        <v>0.66666999999999998</v>
      </c>
    </row>
    <row r="21" spans="1:9" x14ac:dyDescent="0.2">
      <c r="A21" t="s">
        <v>163</v>
      </c>
      <c r="B21">
        <v>32</v>
      </c>
      <c r="C21">
        <v>1.4271</v>
      </c>
      <c r="D21">
        <v>3</v>
      </c>
      <c r="E21">
        <v>0.16874</v>
      </c>
      <c r="F21">
        <v>0.77276999999999996</v>
      </c>
      <c r="G21">
        <v>1</v>
      </c>
      <c r="H21">
        <v>0.67039000000000004</v>
      </c>
      <c r="I21">
        <v>0.32257999999999998</v>
      </c>
    </row>
    <row r="22" spans="1:9" x14ac:dyDescent="0.2">
      <c r="A22" t="s">
        <v>44</v>
      </c>
      <c r="B22">
        <v>17</v>
      </c>
      <c r="C22">
        <v>0.75814999999999999</v>
      </c>
      <c r="D22">
        <v>2</v>
      </c>
      <c r="E22">
        <v>0.17380000000000001</v>
      </c>
      <c r="F22">
        <v>0.75993999999999995</v>
      </c>
      <c r="G22">
        <v>1</v>
      </c>
      <c r="H22">
        <v>0.67039000000000004</v>
      </c>
      <c r="I22">
        <v>0.375</v>
      </c>
    </row>
    <row r="23" spans="1:9" x14ac:dyDescent="0.2">
      <c r="A23" t="s">
        <v>64</v>
      </c>
      <c r="B23">
        <v>88</v>
      </c>
      <c r="C23">
        <v>3.9245000000000001</v>
      </c>
      <c r="D23">
        <v>6</v>
      </c>
      <c r="E23">
        <v>0.19597999999999999</v>
      </c>
      <c r="F23">
        <v>0.70777999999999996</v>
      </c>
      <c r="G23">
        <v>1</v>
      </c>
      <c r="H23">
        <v>0.71484999999999999</v>
      </c>
      <c r="I23">
        <v>0.22989000000000001</v>
      </c>
    </row>
    <row r="24" spans="1:9" x14ac:dyDescent="0.2">
      <c r="A24" t="s">
        <v>42</v>
      </c>
      <c r="B24">
        <v>35</v>
      </c>
      <c r="C24">
        <v>1.5609</v>
      </c>
      <c r="D24">
        <v>3</v>
      </c>
      <c r="E24">
        <v>0.20297999999999999</v>
      </c>
      <c r="F24">
        <v>0.69254000000000004</v>
      </c>
      <c r="G24">
        <v>1</v>
      </c>
      <c r="H24">
        <v>0.71484999999999999</v>
      </c>
      <c r="I24">
        <v>0.23529</v>
      </c>
    </row>
    <row r="25" spans="1:9" x14ac:dyDescent="0.2">
      <c r="A25" t="s">
        <v>67</v>
      </c>
      <c r="B25">
        <v>40</v>
      </c>
      <c r="C25">
        <v>1.7839</v>
      </c>
      <c r="D25">
        <v>3</v>
      </c>
      <c r="E25">
        <v>0.26306000000000002</v>
      </c>
      <c r="F25">
        <v>0.57994999999999997</v>
      </c>
      <c r="G25">
        <v>1</v>
      </c>
      <c r="H25">
        <v>0.86736000000000002</v>
      </c>
      <c r="I25">
        <v>0.10256</v>
      </c>
    </row>
    <row r="26" spans="1:9" x14ac:dyDescent="0.2">
      <c r="A26" t="s">
        <v>56</v>
      </c>
      <c r="B26">
        <v>59</v>
      </c>
      <c r="C26">
        <v>2.6312000000000002</v>
      </c>
      <c r="D26">
        <v>4</v>
      </c>
      <c r="E26">
        <v>0.26769999999999999</v>
      </c>
      <c r="F26">
        <v>0.57233999999999996</v>
      </c>
      <c r="G26">
        <v>1</v>
      </c>
      <c r="H26">
        <v>0.86736000000000002</v>
      </c>
      <c r="I26">
        <v>0.34483000000000003</v>
      </c>
    </row>
    <row r="27" spans="1:9" x14ac:dyDescent="0.2">
      <c r="A27" t="s">
        <v>168</v>
      </c>
      <c r="B27">
        <v>9</v>
      </c>
      <c r="C27">
        <v>0.40137</v>
      </c>
      <c r="D27">
        <v>1</v>
      </c>
      <c r="E27">
        <v>0.33722999999999997</v>
      </c>
      <c r="F27">
        <v>0.47208</v>
      </c>
      <c r="G27">
        <v>1</v>
      </c>
      <c r="H27">
        <v>1</v>
      </c>
      <c r="I27">
        <v>0.25</v>
      </c>
    </row>
    <row r="28" spans="1:9" x14ac:dyDescent="0.2">
      <c r="A28" t="s">
        <v>83</v>
      </c>
      <c r="B28">
        <v>48</v>
      </c>
      <c r="C28">
        <v>2.1406999999999998</v>
      </c>
      <c r="D28">
        <v>3</v>
      </c>
      <c r="E28">
        <v>0.36242999999999997</v>
      </c>
      <c r="F28">
        <v>0.44077</v>
      </c>
      <c r="G28">
        <v>1</v>
      </c>
      <c r="H28">
        <v>1</v>
      </c>
      <c r="I28">
        <v>0.12766</v>
      </c>
    </row>
    <row r="29" spans="1:9" x14ac:dyDescent="0.2">
      <c r="A29" t="s">
        <v>102</v>
      </c>
      <c r="B29">
        <v>49</v>
      </c>
      <c r="C29">
        <v>2.1852</v>
      </c>
      <c r="D29">
        <v>3</v>
      </c>
      <c r="E29">
        <v>0.37484000000000001</v>
      </c>
      <c r="F29">
        <v>0.42615999999999998</v>
      </c>
      <c r="G29">
        <v>1</v>
      </c>
      <c r="H29">
        <v>1</v>
      </c>
      <c r="I29">
        <v>0.22917000000000001</v>
      </c>
    </row>
    <row r="30" spans="1:9" x14ac:dyDescent="0.2">
      <c r="A30" t="s">
        <v>62</v>
      </c>
      <c r="B30">
        <v>11</v>
      </c>
      <c r="C30">
        <v>0.49057000000000001</v>
      </c>
      <c r="D30">
        <v>1</v>
      </c>
      <c r="E30">
        <v>0.39524999999999999</v>
      </c>
      <c r="F30">
        <v>0.40311999999999998</v>
      </c>
      <c r="G30">
        <v>1</v>
      </c>
      <c r="H30">
        <v>1</v>
      </c>
      <c r="I30">
        <v>0.5</v>
      </c>
    </row>
    <row r="31" spans="1:9" x14ac:dyDescent="0.2">
      <c r="A31" t="s">
        <v>75</v>
      </c>
      <c r="B31">
        <v>72</v>
      </c>
      <c r="C31">
        <v>3.2109999999999999</v>
      </c>
      <c r="D31">
        <v>4</v>
      </c>
      <c r="E31">
        <v>0.40155000000000002</v>
      </c>
      <c r="F31">
        <v>0.39626</v>
      </c>
      <c r="G31">
        <v>1</v>
      </c>
      <c r="H31">
        <v>1</v>
      </c>
      <c r="I31">
        <v>0.14085</v>
      </c>
    </row>
    <row r="32" spans="1:9" x14ac:dyDescent="0.2">
      <c r="A32" t="s">
        <v>28</v>
      </c>
      <c r="B32">
        <v>74</v>
      </c>
      <c r="C32">
        <v>3.3001999999999998</v>
      </c>
      <c r="D32">
        <v>4</v>
      </c>
      <c r="E32">
        <v>0.42212</v>
      </c>
      <c r="F32">
        <v>0.37457000000000001</v>
      </c>
      <c r="G32">
        <v>1</v>
      </c>
      <c r="H32">
        <v>1</v>
      </c>
      <c r="I32">
        <v>6.8492999999999998E-2</v>
      </c>
    </row>
    <row r="33" spans="1:9" x14ac:dyDescent="0.2">
      <c r="A33" t="s">
        <v>87</v>
      </c>
      <c r="B33">
        <v>54</v>
      </c>
      <c r="C33">
        <v>2.4081999999999999</v>
      </c>
      <c r="D33">
        <v>3</v>
      </c>
      <c r="E33">
        <v>0.43598999999999999</v>
      </c>
      <c r="F33">
        <v>0.36052000000000001</v>
      </c>
      <c r="G33">
        <v>1</v>
      </c>
      <c r="H33">
        <v>1</v>
      </c>
      <c r="I33">
        <v>0.16980999999999999</v>
      </c>
    </row>
    <row r="34" spans="1:9" x14ac:dyDescent="0.2">
      <c r="A34" t="s">
        <v>95</v>
      </c>
      <c r="B34">
        <v>34</v>
      </c>
      <c r="C34">
        <v>1.5163</v>
      </c>
      <c r="D34">
        <v>2</v>
      </c>
      <c r="E34">
        <v>0.45271</v>
      </c>
      <c r="F34">
        <v>0.34417999999999999</v>
      </c>
      <c r="G34">
        <v>1</v>
      </c>
      <c r="H34">
        <v>1</v>
      </c>
      <c r="I34">
        <v>0.12121</v>
      </c>
    </row>
    <row r="35" spans="1:9" x14ac:dyDescent="0.2">
      <c r="A35" t="s">
        <v>58</v>
      </c>
      <c r="B35">
        <v>34</v>
      </c>
      <c r="C35">
        <v>1.5163</v>
      </c>
      <c r="D35">
        <v>2</v>
      </c>
      <c r="E35">
        <v>0.45271</v>
      </c>
      <c r="F35">
        <v>0.34417999999999999</v>
      </c>
      <c r="G35">
        <v>1</v>
      </c>
      <c r="H35">
        <v>1</v>
      </c>
      <c r="I35">
        <v>0.15151999999999999</v>
      </c>
    </row>
    <row r="36" spans="1:9" x14ac:dyDescent="0.2">
      <c r="A36" t="s">
        <v>121</v>
      </c>
      <c r="B36">
        <v>80</v>
      </c>
      <c r="C36">
        <v>3.5678000000000001</v>
      </c>
      <c r="D36">
        <v>4</v>
      </c>
      <c r="E36">
        <v>0.48266999999999999</v>
      </c>
      <c r="F36">
        <v>0.31635000000000002</v>
      </c>
      <c r="G36">
        <v>1</v>
      </c>
      <c r="H36">
        <v>1</v>
      </c>
      <c r="I36">
        <v>0.17721999999999999</v>
      </c>
    </row>
    <row r="37" spans="1:9" x14ac:dyDescent="0.2">
      <c r="A37" t="s">
        <v>60</v>
      </c>
      <c r="B37">
        <v>60</v>
      </c>
      <c r="C37">
        <v>2.6758000000000002</v>
      </c>
      <c r="D37">
        <v>3</v>
      </c>
      <c r="E37">
        <v>0.50631000000000004</v>
      </c>
      <c r="F37">
        <v>0.29558000000000001</v>
      </c>
      <c r="G37">
        <v>1</v>
      </c>
      <c r="H37">
        <v>1</v>
      </c>
      <c r="I37">
        <v>0.22034000000000001</v>
      </c>
    </row>
    <row r="38" spans="1:9" x14ac:dyDescent="0.2">
      <c r="A38" t="s">
        <v>93</v>
      </c>
      <c r="B38">
        <v>174</v>
      </c>
      <c r="C38">
        <v>7.7599</v>
      </c>
      <c r="D38">
        <v>8</v>
      </c>
      <c r="E38">
        <v>0.51961999999999997</v>
      </c>
      <c r="F38">
        <v>0.28432000000000002</v>
      </c>
      <c r="G38">
        <v>1</v>
      </c>
      <c r="H38">
        <v>1</v>
      </c>
      <c r="I38">
        <v>0.16763</v>
      </c>
    </row>
    <row r="39" spans="1:9" x14ac:dyDescent="0.2">
      <c r="A39" t="s">
        <v>66</v>
      </c>
      <c r="B39">
        <v>39</v>
      </c>
      <c r="C39">
        <v>1.7393000000000001</v>
      </c>
      <c r="D39">
        <v>2</v>
      </c>
      <c r="E39">
        <v>0.52583999999999997</v>
      </c>
      <c r="F39">
        <v>0.27914</v>
      </c>
      <c r="G39">
        <v>1</v>
      </c>
      <c r="H39">
        <v>1</v>
      </c>
      <c r="I39">
        <v>0.34211000000000003</v>
      </c>
    </row>
    <row r="40" spans="1:9" x14ac:dyDescent="0.2">
      <c r="A40" t="s">
        <v>71</v>
      </c>
      <c r="B40">
        <v>40</v>
      </c>
      <c r="C40">
        <v>1.7839</v>
      </c>
      <c r="D40">
        <v>2</v>
      </c>
      <c r="E40">
        <v>0.53966999999999998</v>
      </c>
      <c r="F40">
        <v>0.26787</v>
      </c>
      <c r="G40">
        <v>1</v>
      </c>
      <c r="H40">
        <v>1</v>
      </c>
      <c r="I40">
        <v>7.6923000000000005E-2</v>
      </c>
    </row>
    <row r="41" spans="1:9" x14ac:dyDescent="0.2">
      <c r="A41" t="s">
        <v>77</v>
      </c>
      <c r="B41">
        <v>46</v>
      </c>
      <c r="C41">
        <v>2.0514999999999999</v>
      </c>
      <c r="D41">
        <v>2</v>
      </c>
      <c r="E41">
        <v>0.61677000000000004</v>
      </c>
      <c r="F41">
        <v>0.20988000000000001</v>
      </c>
      <c r="G41">
        <v>1</v>
      </c>
      <c r="H41">
        <v>1</v>
      </c>
      <c r="I41">
        <v>0.15556</v>
      </c>
    </row>
    <row r="42" spans="1:9" x14ac:dyDescent="0.2">
      <c r="A42" t="s">
        <v>52</v>
      </c>
      <c r="B42">
        <v>50</v>
      </c>
      <c r="C42">
        <v>2.2298</v>
      </c>
      <c r="D42">
        <v>2</v>
      </c>
      <c r="E42">
        <v>0.66251000000000004</v>
      </c>
      <c r="F42">
        <v>0.17881</v>
      </c>
      <c r="G42">
        <v>1</v>
      </c>
      <c r="H42">
        <v>1</v>
      </c>
      <c r="I42">
        <v>8.1632999999999997E-2</v>
      </c>
    </row>
    <row r="43" spans="1:9" x14ac:dyDescent="0.2">
      <c r="A43" t="s">
        <v>54</v>
      </c>
      <c r="B43">
        <v>55</v>
      </c>
      <c r="C43">
        <v>2.4527999999999999</v>
      </c>
      <c r="D43">
        <v>2</v>
      </c>
      <c r="E43">
        <v>0.71345999999999998</v>
      </c>
      <c r="F43">
        <v>0.14663000000000001</v>
      </c>
      <c r="G43">
        <v>1</v>
      </c>
      <c r="H43">
        <v>1</v>
      </c>
      <c r="I43">
        <v>5.5556000000000001E-2</v>
      </c>
    </row>
    <row r="44" spans="1:9" x14ac:dyDescent="0.2">
      <c r="A44" t="s">
        <v>81</v>
      </c>
      <c r="B44">
        <v>107</v>
      </c>
      <c r="C44">
        <v>4.7718999999999996</v>
      </c>
      <c r="D44">
        <v>4</v>
      </c>
      <c r="E44">
        <v>0.71399000000000001</v>
      </c>
      <c r="F44">
        <v>0.14631</v>
      </c>
      <c r="G44">
        <v>1</v>
      </c>
      <c r="H44">
        <v>1</v>
      </c>
      <c r="I44">
        <v>0.25472</v>
      </c>
    </row>
    <row r="45" spans="1:9" x14ac:dyDescent="0.2">
      <c r="A45" t="s">
        <v>181</v>
      </c>
      <c r="B45">
        <v>30</v>
      </c>
      <c r="C45">
        <v>1.3379000000000001</v>
      </c>
      <c r="D45">
        <v>1</v>
      </c>
      <c r="E45">
        <v>0.74778</v>
      </c>
      <c r="F45">
        <v>0.12623000000000001</v>
      </c>
      <c r="G45">
        <v>1</v>
      </c>
      <c r="H45">
        <v>1</v>
      </c>
      <c r="I45">
        <v>0.10345</v>
      </c>
    </row>
    <row r="46" spans="1:9" x14ac:dyDescent="0.2">
      <c r="A46" t="s">
        <v>89</v>
      </c>
      <c r="B46">
        <v>121</v>
      </c>
      <c r="C46">
        <v>5.3962000000000003</v>
      </c>
      <c r="D46">
        <v>4</v>
      </c>
      <c r="E46">
        <v>0.80018999999999996</v>
      </c>
      <c r="F46">
        <v>9.6809000000000006E-2</v>
      </c>
      <c r="G46">
        <v>1</v>
      </c>
      <c r="H46">
        <v>1</v>
      </c>
      <c r="I46">
        <v>0.05</v>
      </c>
    </row>
    <row r="47" spans="1:9" x14ac:dyDescent="0.2">
      <c r="A47" t="s">
        <v>96</v>
      </c>
      <c r="B47">
        <v>36</v>
      </c>
      <c r="C47">
        <v>1.6054999999999999</v>
      </c>
      <c r="D47">
        <v>1</v>
      </c>
      <c r="E47">
        <v>0.80893000000000004</v>
      </c>
      <c r="F47">
        <v>9.2087000000000002E-2</v>
      </c>
      <c r="G47">
        <v>1</v>
      </c>
      <c r="H47">
        <v>1</v>
      </c>
      <c r="I47">
        <v>5.7142999999999999E-2</v>
      </c>
    </row>
    <row r="48" spans="1:9" x14ac:dyDescent="0.2">
      <c r="A48" t="s">
        <v>98</v>
      </c>
      <c r="B48">
        <v>36</v>
      </c>
      <c r="C48">
        <v>1.6054999999999999</v>
      </c>
      <c r="D48">
        <v>1</v>
      </c>
      <c r="E48">
        <v>0.80893000000000004</v>
      </c>
      <c r="F48">
        <v>9.2087000000000002E-2</v>
      </c>
      <c r="G48">
        <v>1</v>
      </c>
      <c r="H48">
        <v>1</v>
      </c>
      <c r="I48">
        <v>8.5713999999999999E-2</v>
      </c>
    </row>
    <row r="49" spans="1:9" x14ac:dyDescent="0.2">
      <c r="A49" t="s">
        <v>69</v>
      </c>
      <c r="B49">
        <v>40</v>
      </c>
      <c r="C49">
        <v>1.7839</v>
      </c>
      <c r="D49">
        <v>1</v>
      </c>
      <c r="E49">
        <v>0.84128999999999998</v>
      </c>
      <c r="F49">
        <v>7.5054999999999997E-2</v>
      </c>
      <c r="G49">
        <v>1</v>
      </c>
      <c r="H49">
        <v>1</v>
      </c>
      <c r="I49">
        <v>2.5641000000000001E-2</v>
      </c>
    </row>
    <row r="50" spans="1:9" x14ac:dyDescent="0.2">
      <c r="A50" t="s">
        <v>184</v>
      </c>
      <c r="B50">
        <v>44</v>
      </c>
      <c r="C50">
        <v>1.9622999999999999</v>
      </c>
      <c r="D50">
        <v>1</v>
      </c>
      <c r="E50">
        <v>0.86821000000000004</v>
      </c>
      <c r="F50">
        <v>6.1374999999999999E-2</v>
      </c>
      <c r="G50">
        <v>1</v>
      </c>
      <c r="H50">
        <v>1</v>
      </c>
      <c r="I50">
        <v>0.13952999999999999</v>
      </c>
    </row>
    <row r="51" spans="1:9" x14ac:dyDescent="0.2">
      <c r="A51" t="s">
        <v>100</v>
      </c>
      <c r="B51">
        <v>87</v>
      </c>
      <c r="C51">
        <v>3.8799000000000001</v>
      </c>
      <c r="D51">
        <v>2</v>
      </c>
      <c r="E51">
        <v>0.90861000000000003</v>
      </c>
      <c r="F51">
        <v>4.1620999999999998E-2</v>
      </c>
      <c r="G51">
        <v>1</v>
      </c>
      <c r="H51">
        <v>1</v>
      </c>
      <c r="I51">
        <v>8.1394999999999995E-2</v>
      </c>
    </row>
    <row r="52" spans="1:9" x14ac:dyDescent="0.2">
      <c r="A52" t="s">
        <v>186</v>
      </c>
      <c r="B52">
        <v>57</v>
      </c>
      <c r="C52">
        <v>2.5419999999999998</v>
      </c>
      <c r="D52">
        <v>1</v>
      </c>
      <c r="E52">
        <v>0.92813000000000001</v>
      </c>
      <c r="F52">
        <v>3.2390000000000002E-2</v>
      </c>
      <c r="G52">
        <v>1</v>
      </c>
      <c r="H52">
        <v>1</v>
      </c>
      <c r="I52">
        <v>0.125</v>
      </c>
    </row>
    <row r="53" spans="1:9" x14ac:dyDescent="0.2">
      <c r="A53" t="s">
        <v>108</v>
      </c>
      <c r="B53">
        <v>102</v>
      </c>
      <c r="C53">
        <v>4.5488999999999997</v>
      </c>
      <c r="D53">
        <v>2</v>
      </c>
      <c r="E53">
        <v>0.94869999999999999</v>
      </c>
      <c r="F53">
        <v>2.2870999999999999E-2</v>
      </c>
      <c r="G53">
        <v>1</v>
      </c>
      <c r="H53">
        <v>1</v>
      </c>
      <c r="I53">
        <v>5.9406E-2</v>
      </c>
    </row>
    <row r="54" spans="1:9" x14ac:dyDescent="0.2">
      <c r="A54" t="s">
        <v>120</v>
      </c>
      <c r="B54">
        <v>68</v>
      </c>
      <c r="C54">
        <v>3.0326</v>
      </c>
      <c r="D54">
        <v>1</v>
      </c>
      <c r="E54">
        <v>0.95709999999999995</v>
      </c>
      <c r="F54">
        <v>1.9043999999999998E-2</v>
      </c>
      <c r="G54">
        <v>1</v>
      </c>
      <c r="H54">
        <v>1</v>
      </c>
      <c r="I54">
        <v>2.9850999999999999E-2</v>
      </c>
    </row>
    <row r="55" spans="1:9" x14ac:dyDescent="0.2">
      <c r="A55" t="s">
        <v>104</v>
      </c>
      <c r="B55">
        <v>75</v>
      </c>
      <c r="C55">
        <v>3.3448000000000002</v>
      </c>
      <c r="D55">
        <v>1</v>
      </c>
      <c r="E55">
        <v>0.96914</v>
      </c>
      <c r="F55">
        <v>1.3612000000000001E-2</v>
      </c>
      <c r="G55">
        <v>1</v>
      </c>
      <c r="H55">
        <v>1</v>
      </c>
      <c r="I55">
        <v>2.7026999999999999E-2</v>
      </c>
    </row>
    <row r="56" spans="1:9" x14ac:dyDescent="0.2">
      <c r="A56" t="s">
        <v>106</v>
      </c>
      <c r="B56">
        <v>78</v>
      </c>
      <c r="C56">
        <v>3.4786000000000001</v>
      </c>
      <c r="D56">
        <v>1</v>
      </c>
      <c r="E56">
        <v>0.97321999999999997</v>
      </c>
      <c r="F56">
        <v>1.179E-2</v>
      </c>
      <c r="G56">
        <v>1</v>
      </c>
      <c r="H56">
        <v>1</v>
      </c>
      <c r="I56">
        <v>1.2987E-2</v>
      </c>
    </row>
    <row r="57" spans="1:9" x14ac:dyDescent="0.2">
      <c r="A57" t="s">
        <v>91</v>
      </c>
      <c r="B57">
        <v>97</v>
      </c>
      <c r="C57">
        <v>4.3258999999999999</v>
      </c>
      <c r="D57">
        <v>1</v>
      </c>
      <c r="E57">
        <v>0.98912</v>
      </c>
      <c r="F57">
        <v>4.7489999999999997E-3</v>
      </c>
      <c r="G57">
        <v>1</v>
      </c>
      <c r="H57">
        <v>1</v>
      </c>
      <c r="I57">
        <v>2.0833000000000001E-2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Omics summaries</vt:lpstr>
      <vt:lpstr>PFOS-FeaturesMatched</vt:lpstr>
      <vt:lpstr>PFOS-Pathways</vt:lpstr>
      <vt:lpstr>PFHxS-FeaturesMatched</vt:lpstr>
      <vt:lpstr>PFHxS-Pathways</vt:lpstr>
      <vt:lpstr>PFBS-FeaturesMatched</vt:lpstr>
      <vt:lpstr>PFBS-Pathways</vt:lpstr>
      <vt:lpstr>PFOA-FeaturesMatched</vt:lpstr>
      <vt:lpstr>PFOA-Pathways</vt:lpstr>
      <vt:lpstr>GenX-FeaturesMatched</vt:lpstr>
      <vt:lpstr>GenX-Pathways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DiBona, Bea</dc:creator>
  <cp:lastModifiedBy>DiBona, Bea</cp:lastModifiedBy>
  <dcterms:created xsi:type="dcterms:W3CDTF">2026-06-09T16:56:04Z</dcterms:created>
  <dcterms:modified xsi:type="dcterms:W3CDTF">2026-06-09T17:35:07Z</dcterms:modified>
</cp:coreProperties>
</file>